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Menu Item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Where Used" sheetId="5" state="visible" r:id="rId5"/>
    <sheet xmlns:r="http://schemas.openxmlformats.org/officeDocument/2006/relationships" name="Procurement" sheetId="6" state="visible" r:id="rId6"/>
    <sheet xmlns:r="http://schemas.openxmlformats.org/officeDocument/2006/relationships" name="Purchase Orders" sheetId="7" state="visible" r:id="rId7"/>
    <sheet xmlns:r="http://schemas.openxmlformats.org/officeDocument/2006/relationships" name="Receiving Log" sheetId="8" state="visible" r:id="rId8"/>
    <sheet xmlns:r="http://schemas.openxmlformats.org/officeDocument/2006/relationships" name="Sales Log" sheetId="9" state="visible" r:id="rId9"/>
    <sheet xmlns:r="http://schemas.openxmlformats.org/officeDocument/2006/relationships" name="Staff" sheetId="10" state="visible" r:id="rId10"/>
    <sheet xmlns:r="http://schemas.openxmlformats.org/officeDocument/2006/relationships" name="Schedule" sheetId="11" state="visible" r:id="rId11"/>
    <sheet xmlns:r="http://schemas.openxmlformats.org/officeDocument/2006/relationships" name="Weekly Hours" sheetId="12" state="visible" r:id="rId12"/>
  </sheets>
  <definedNames>
    <definedName name="_xlnm._FilterDatabase" localSheetId="1" hidden="1">'Ingredients'!$A$1:$X$32</definedName>
    <definedName name="_xlnm._FilterDatabase" localSheetId="2" hidden="1">'Menu Items'!$A$1:$N$13</definedName>
    <definedName name="_xlnm._FilterDatabase" localSheetId="3" hidden="1">'Recipes'!$A$1:$J$75</definedName>
    <definedName name="_xlnm._FilterDatabase" localSheetId="5" hidden="1">'Procurement'!$A$1:$K$32</definedName>
    <definedName name="_xlnm._FilterDatabase" localSheetId="7" hidden="1">'Receiving Log'!$A$1:$P$5</definedName>
    <definedName name="_xlnm._FilterDatabase" localSheetId="9" hidden="1">'Staff'!$A$1:$H$7</definedName>
    <definedName name="_xlnm._FilterDatabase" localSheetId="10" hidden="1">'Schedule'!$A$1:$M$56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##;-#,##0.##;&quot;-&quot;"/>
    <numFmt numFmtId="165" formatCode="$#,##0.00;($#,##0.00);&quot;-&quot;"/>
    <numFmt numFmtId="166" formatCode="$#,##0.0000;($#,##0.0000);&quot;-&quot;"/>
    <numFmt numFmtId="167" formatCode="0.0%;-0.0%;&quot;-&quot;"/>
    <numFmt numFmtId="168" formatCode="#,##0.##;-#,##0.##;&quot;&quot;"/>
    <numFmt numFmtId="169" formatCode="yyyy-mm-dd"/>
    <numFmt numFmtId="170" formatCode="0.#"/>
    <numFmt numFmtId="171" formatCode="hh:mm"/>
    <numFmt numFmtId="172" formatCode="0.0#"/>
    <numFmt numFmtId="173" formatCode="ddd m/d"/>
    <numFmt numFmtId="174" formatCode="0.0#;-0.0#;&quot;&quot;"/>
    <numFmt numFmtId="175" formatCode="$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color rgb="00008000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3E7CB1"/>
      </patternFill>
    </fill>
    <fill>
      <patternFill patternType="solid">
        <fgColor rgb="002F5D5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6" fillId="0" borderId="1" pivotButton="0" quotePrefix="0" xfId="0"/>
    <xf numFmtId="1" fontId="5" fillId="0" borderId="1" pivotButton="0" quotePrefix="0" xfId="0"/>
    <xf numFmtId="1" fontId="6" fillId="0" borderId="1" pivotButton="0" quotePrefix="0" xfId="0"/>
    <xf numFmtId="164" fontId="6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5" fillId="0" borderId="1" applyAlignment="1" pivotButton="0" quotePrefix="0" xfId="0">
      <alignment vertical="top" wrapText="1"/>
    </xf>
    <xf numFmtId="167" fontId="6" fillId="0" borderId="1" pivotButton="0" quotePrefix="0" xfId="0"/>
    <xf numFmtId="3" fontId="6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3" fontId="7" fillId="0" borderId="1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textRotation="90"/>
    </xf>
    <xf numFmtId="0" fontId="8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8" fontId="6" fillId="0" borderId="0" applyAlignment="1" pivotButton="0" quotePrefix="0" xfId="0">
      <alignment horizontal="center"/>
    </xf>
    <xf numFmtId="164" fontId="7" fillId="0" borderId="1" pivotButton="0" quotePrefix="0" xfId="0"/>
    <xf numFmtId="1" fontId="7" fillId="0" borderId="1" pivotButton="0" quotePrefix="0" xfId="0"/>
    <xf numFmtId="165" fontId="7" fillId="0" borderId="1" pivotButton="0" quotePrefix="0" xfId="0"/>
    <xf numFmtId="169" fontId="6" fillId="0" borderId="1" pivotButton="0" quotePrefix="0" xfId="0"/>
    <xf numFmtId="165" fontId="2" fillId="0" borderId="0" pivotButton="0" quotePrefix="0" xfId="0"/>
    <xf numFmtId="170" fontId="5" fillId="0" borderId="1" pivotButton="0" quotePrefix="0" xfId="0"/>
    <xf numFmtId="169" fontId="5" fillId="0" borderId="1" pivotButton="0" quotePrefix="0" xfId="0"/>
    <xf numFmtId="171" fontId="5" fillId="0" borderId="1" pivotButton="0" quotePrefix="0" xfId="0"/>
    <xf numFmtId="172" fontId="6" fillId="0" borderId="1" pivotButton="0" quotePrefix="0" xfId="0"/>
    <xf numFmtId="169" fontId="5" fillId="4" borderId="0" pivotButton="0" quotePrefix="0" xfId="0"/>
    <xf numFmtId="173" fontId="4" fillId="3" borderId="0" applyAlignment="1" pivotButton="0" quotePrefix="0" xfId="0">
      <alignment horizontal="center" vertical="center" wrapText="1"/>
    </xf>
    <xf numFmtId="174" fontId="6" fillId="0" borderId="1" applyAlignment="1" pivotButton="0" quotePrefix="0" xfId="0">
      <alignment horizontal="center"/>
    </xf>
    <xf numFmtId="170" fontId="7" fillId="0" borderId="1" pivotButton="0" quotePrefix="0" xfId="0"/>
    <xf numFmtId="172" fontId="2" fillId="0" borderId="1" pivotButton="0" quotePrefix="0" xfId="0"/>
    <xf numFmtId="175" fontId="6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FDF2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Inventory</author>
  </authors>
  <commentList>
    <comment ref="P1" authorId="0" shapeId="0">
      <text>
        <t>Reorder when On Hand falls to this level. Rule of thumb: daily usage x lead time + safety stock.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Menu &amp; Parts Inventory Workbook</t>
        </is>
      </c>
    </row>
    <row r="3">
      <c r="A3" s="2" t="inlineStr">
        <is>
          <t>How it works</t>
        </is>
      </c>
      <c r="B3" s="3" t="inlineStr">
        <is>
          <t>Each menu item is built from ingredients (its recipe / bill of materials). Selling an item consumes those ingredients, which drives the reorder list.</t>
        </is>
      </c>
    </row>
    <row r="4">
      <c r="A4" s="2" t="inlineStr">
        <is>
          <t>Ingredients</t>
        </is>
      </c>
      <c r="B4" s="3" t="inlineStr">
        <is>
          <t>Master list of every part you buy: purchasing info, stock, reorder rules.</t>
        </is>
      </c>
    </row>
    <row r="5">
      <c r="A5" s="2" t="inlineStr">
        <is>
          <t>Menu Items</t>
        </is>
      </c>
      <c r="B5" s="3" t="inlineStr">
        <is>
          <t>What you sell. Cost, margin and units sold are calculated from the recipes.</t>
        </is>
      </c>
    </row>
    <row r="6">
      <c r="A6" s="2" t="inlineStr">
        <is>
          <t>Recipes</t>
        </is>
      </c>
      <c r="B6" s="3" t="inlineStr">
        <is>
          <t>One row per ingredient per menu item. To add an ingredient to an item, add a row with the Item ID, Ingredient ID and quantity.</t>
        </is>
      </c>
    </row>
    <row r="7">
      <c r="A7" s="2" t="inlineStr">
        <is>
          <t>Where Used</t>
        </is>
      </c>
      <c r="B7" s="3" t="inlineStr">
        <is>
          <t>Matrix of ingredients vs. menu items - quickly see which items need a part.</t>
        </is>
      </c>
    </row>
    <row r="8">
      <c r="A8" s="2" t="inlineStr">
        <is>
          <t>Procurement</t>
        </is>
      </c>
      <c r="B8" s="3" t="inlineStr">
        <is>
          <t>Reorder list grouped by supplier. Rows flagged REORDER should be purchased.</t>
        </is>
      </c>
    </row>
    <row r="9">
      <c r="A9" s="2" t="inlineStr">
        <is>
          <t>Purchase Orders</t>
        </is>
      </c>
      <c r="B9" s="3" t="inlineStr">
        <is>
          <t>Orders created from the website with what has been received, damaged and is still outstanding.</t>
        </is>
      </c>
    </row>
    <row r="10">
      <c r="A10" s="2" t="inlineStr">
        <is>
          <t>Receiving Log</t>
        </is>
      </c>
      <c r="B10" s="3" t="inlineStr">
        <is>
          <t>Every delivery checked in on the website: who, when, what arrived, damage, shortages and notes.</t>
        </is>
      </c>
    </row>
    <row r="11">
      <c r="A11" s="2" t="inlineStr">
        <is>
          <t>Sales Log</t>
        </is>
      </c>
      <c r="B11" s="3" t="inlineStr">
        <is>
          <t>Sales recorded on the website; feeds 'Units Used' and 'Units Sold'.</t>
        </is>
      </c>
    </row>
    <row r="12">
      <c r="A12" s="2" t="inlineStr">
        <is>
          <t>Staff</t>
        </is>
      </c>
      <c r="B12" s="3" t="inlineStr">
        <is>
          <t>Employees with role, hourly rate and maximum hours per week.</t>
        </is>
      </c>
    </row>
    <row r="13">
      <c r="A13" s="2" t="inlineStr">
        <is>
          <t>Schedule</t>
        </is>
      </c>
      <c r="B13" s="3" t="inlineStr">
        <is>
          <t>Every shift: date, employee, start/end, hours and labor cost. OPEN = not yet assigned.</t>
        </is>
      </c>
    </row>
    <row r="14">
      <c r="A14" s="2" t="inlineStr">
        <is>
          <t>Weekly Hours</t>
        </is>
      </c>
      <c r="B14" s="3" t="inlineStr">
        <is>
          <t>Hours per employee per day for one week. Change the Monday date in B1 to look at another week; over-max rows turn red.</t>
        </is>
      </c>
    </row>
    <row r="15">
      <c r="A15" s="2" t="inlineStr"/>
      <c r="B15" s="3" t="inlineStr"/>
    </row>
    <row r="16">
      <c r="A16" s="2" t="inlineStr">
        <is>
          <t>Colour legend</t>
        </is>
      </c>
      <c r="B16" s="3" t="inlineStr">
        <is>
          <t>Blue header / blue text = input you can edit.  Dark green header = calculated, do not overwrite.  Green text = pulled from another sheet.</t>
        </is>
      </c>
    </row>
    <row r="17">
      <c r="A17" s="2" t="inlineStr">
        <is>
          <t>Units</t>
        </is>
      </c>
      <c r="B17" s="3" t="inlineStr">
        <is>
          <t>All stock quantities are in the ingredient's Recipe Unit (e.g. oz). 'Qty per Package' says how many recipe units are in one purchased package.</t>
        </is>
      </c>
    </row>
    <row r="18">
      <c r="A18" s="2" t="inlineStr">
        <is>
          <t>Landed Unit Cost</t>
        </is>
      </c>
      <c r="B18" s="3" t="inlineStr">
        <is>
          <t>(Package Cost + Shipping per Package) / Qty per Package.</t>
        </is>
      </c>
    </row>
    <row r="19">
      <c r="A19" s="2" t="inlineStr">
        <is>
          <t>Reorder rule</t>
        </is>
      </c>
      <c r="B19" s="3" t="inlineStr">
        <is>
          <t>When On Hand &lt;= Reorder Point, order enough packages to refill to Par Level (at least the supplier's Min Order). Tip: Reorder Point ~= daily usage x lead time + safety stock.</t>
        </is>
      </c>
    </row>
    <row r="20">
      <c r="A20" s="2" t="inlineStr">
        <is>
          <t>Syncing</t>
        </is>
      </c>
      <c r="B20" s="3" t="inlineStr">
        <is>
          <t>The website rewrites this file after every change. Edits made here can be pulled into the website from its Excel tab (Import). Only blue input columns are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0" customWidth="1" min="4" max="4"/>
    <col width="20" customWidth="1" min="5" max="5"/>
    <col width="13" customWidth="1" min="6" max="6"/>
    <col width="20" customWidth="1" min="7" max="7"/>
    <col width="12" customWidth="1" min="8" max="8"/>
    <col width="11" customWidth="1" min="9" max="9"/>
    <col width="11" customWidth="1" min="10" max="10"/>
    <col width="12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  <col width="11" customWidth="1" min="17" max="17"/>
    <col width="9" customWidth="1" min="18" max="18"/>
    <col width="11" customWidth="1" min="19" max="19"/>
    <col width="10" customWidth="1" min="20" max="20"/>
    <col width="11" customWidth="1" min="21" max="21"/>
    <col width="11" customWidth="1" min="22" max="22"/>
    <col width="11" customWidth="1" min="23" max="23"/>
    <col width="30" customWidth="1" min="24" max="24"/>
  </cols>
  <sheetData>
    <row r="1" ht="42" customHeight="1">
      <c r="A1" s="4" t="inlineStr">
        <is>
          <t>Ingredient 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Recipe Unit</t>
        </is>
      </c>
      <c r="E1" s="4" t="inlineStr">
        <is>
          <t>Supplier</t>
        </is>
      </c>
      <c r="F1" s="4" t="inlineStr">
        <is>
          <t>Supplier SKU</t>
        </is>
      </c>
      <c r="G1" s="4" t="inlineStr">
        <is>
          <t>Package Description</t>
        </is>
      </c>
      <c r="H1" s="4" t="inlineStr">
        <is>
          <t>Qty per Package (units)</t>
        </is>
      </c>
      <c r="I1" s="4" t="inlineStr">
        <is>
          <t>Package Cost ($)</t>
        </is>
      </c>
      <c r="J1" s="4" t="inlineStr">
        <is>
          <t>Shipping per Package ($)</t>
        </is>
      </c>
      <c r="K1" s="5" t="inlineStr">
        <is>
          <t>Landed Unit Cost ($)</t>
        </is>
      </c>
      <c r="L1" s="4" t="inlineStr">
        <is>
          <t>Lead Time (days)</t>
        </is>
      </c>
      <c r="M1" s="4" t="inlineStr">
        <is>
          <t>Shelf Life (days)</t>
        </is>
      </c>
      <c r="N1" s="4" t="inlineStr">
        <is>
          <t>Min Order (pkgs)</t>
        </is>
      </c>
      <c r="O1" s="4" t="inlineStr">
        <is>
          <t>On Hand (units)</t>
        </is>
      </c>
      <c r="P1" s="4" t="inlineStr">
        <is>
          <t>Reorder Point (units)</t>
        </is>
      </c>
      <c r="Q1" s="4" t="inlineStr">
        <is>
          <t>Par Level (units)</t>
        </is>
      </c>
      <c r="R1" s="5" t="inlineStr">
        <is>
          <t>Used in # Items</t>
        </is>
      </c>
      <c r="S1" s="5" t="inlineStr">
        <is>
          <t>Units Used (sales log)</t>
        </is>
      </c>
      <c r="T1" s="5" t="inlineStr">
        <is>
          <t>Status</t>
        </is>
      </c>
      <c r="U1" s="5" t="inlineStr">
        <is>
          <t>Suggested Order (pkgs)</t>
        </is>
      </c>
      <c r="V1" s="5" t="inlineStr">
        <is>
          <t>Order Cost ($)</t>
        </is>
      </c>
      <c r="W1" s="5" t="inlineStr">
        <is>
          <t>Stock Value ($)</t>
        </is>
      </c>
      <c r="X1" s="4" t="inlineStr">
        <is>
          <t>Notes</t>
        </is>
      </c>
    </row>
    <row r="2">
      <c r="A2" s="6" t="inlineStr">
        <is>
          <t>ING-001</t>
        </is>
      </c>
      <c r="B2" s="6" t="inlineStr">
        <is>
          <t>Apple Juice</t>
        </is>
      </c>
      <c r="C2" s="6" t="inlineStr">
        <is>
          <t>Juice Base</t>
        </is>
      </c>
      <c r="D2" s="6" t="inlineStr">
        <is>
          <t>fl oz</t>
        </is>
      </c>
      <c r="E2" s="6" t="inlineStr">
        <is>
          <t>Valley Fresh Juices</t>
        </is>
      </c>
      <c r="F2" s="6" t="inlineStr">
        <is>
          <t>SKU-1007</t>
        </is>
      </c>
      <c r="G2" s="6" t="inlineStr">
        <is>
          <t>1 gal jug</t>
        </is>
      </c>
      <c r="H2" s="7" t="n">
        <v>128</v>
      </c>
      <c r="I2" s="8" t="n">
        <v>9.5</v>
      </c>
      <c r="J2" s="8" t="n">
        <v>1.2</v>
      </c>
      <c r="K2" s="9">
        <f>IFERROR((I2+J2)/H2,0)</f>
        <v/>
      </c>
      <c r="L2" s="10" t="n">
        <v>3</v>
      </c>
      <c r="M2" s="10" t="n">
        <v>21</v>
      </c>
      <c r="N2" s="10" t="n">
        <v>2</v>
      </c>
      <c r="O2" s="7" t="n">
        <v>1640</v>
      </c>
      <c r="P2" s="7" t="n">
        <v>1024</v>
      </c>
      <c r="Q2" s="7" t="n">
        <v>3072</v>
      </c>
      <c r="R2" s="11">
        <f>COUNTIF(Recipes!$C$2:$C$1000,A2)</f>
        <v/>
      </c>
      <c r="S2" s="12">
        <f>SUMIFS(Recipes!$J$2:$J$1000,Recipes!$C$2:$C$1000,A2)</f>
        <v/>
      </c>
      <c r="T2" s="13">
        <f>IF(O2&lt;=P2,"REORDER","OK")</f>
        <v/>
      </c>
      <c r="U2" s="11">
        <f>IF(O2&lt;=P2,MAX(N2,ROUNDUP(MAX(Q2-O2,0)/H2,0)),0)</f>
        <v/>
      </c>
      <c r="V2" s="14">
        <f>U2*(I2+J2)</f>
        <v/>
      </c>
      <c r="W2" s="14">
        <f>MAX(O2,0)*K2</f>
        <v/>
      </c>
      <c r="X2" s="6" t="inlineStr"/>
    </row>
    <row r="3">
      <c r="A3" s="6" t="inlineStr">
        <is>
          <t>ING-002</t>
        </is>
      </c>
      <c r="B3" s="6" t="inlineStr">
        <is>
          <t>Orange Juice</t>
        </is>
      </c>
      <c r="C3" s="6" t="inlineStr">
        <is>
          <t>Juice Base</t>
        </is>
      </c>
      <c r="D3" s="6" t="inlineStr">
        <is>
          <t>fl oz</t>
        </is>
      </c>
      <c r="E3" s="6" t="inlineStr">
        <is>
          <t>Valley Fresh Juices</t>
        </is>
      </c>
      <c r="F3" s="6" t="inlineStr">
        <is>
          <t>SKU-1014</t>
        </is>
      </c>
      <c r="G3" s="6" t="inlineStr">
        <is>
          <t>1 gal jug</t>
        </is>
      </c>
      <c r="H3" s="7" t="n">
        <v>128</v>
      </c>
      <c r="I3" s="8" t="n">
        <v>11.25</v>
      </c>
      <c r="J3" s="8" t="n">
        <v>1.2</v>
      </c>
      <c r="K3" s="9">
        <f>IFERROR((I3+J3)/H3,0)</f>
        <v/>
      </c>
      <c r="L3" s="10" t="n">
        <v>3</v>
      </c>
      <c r="M3" s="10" t="n">
        <v>14</v>
      </c>
      <c r="N3" s="10" t="n">
        <v>2</v>
      </c>
      <c r="O3" s="7" t="n">
        <v>720</v>
      </c>
      <c r="P3" s="7" t="n">
        <v>1024</v>
      </c>
      <c r="Q3" s="7" t="n">
        <v>3072</v>
      </c>
      <c r="R3" s="11">
        <f>COUNTIF(Recipes!$C$2:$C$1000,A3)</f>
        <v/>
      </c>
      <c r="S3" s="12">
        <f>SUMIFS(Recipes!$J$2:$J$1000,Recipes!$C$2:$C$1000,A3)</f>
        <v/>
      </c>
      <c r="T3" s="13">
        <f>IF(O3&lt;=P3,"REORDER","OK")</f>
        <v/>
      </c>
      <c r="U3" s="11">
        <f>IF(O3&lt;=P3,MAX(N3,ROUNDUP(MAX(Q3-O3,0)/H3,0)),0)</f>
        <v/>
      </c>
      <c r="V3" s="14">
        <f>U3*(I3+J3)</f>
        <v/>
      </c>
      <c r="W3" s="14">
        <f>MAX(O3,0)*K3</f>
        <v/>
      </c>
      <c r="X3" s="6" t="inlineStr"/>
    </row>
    <row r="4">
      <c r="A4" s="6" t="inlineStr">
        <is>
          <t>ING-003</t>
        </is>
      </c>
      <c r="B4" s="6" t="inlineStr">
        <is>
          <t>Pineapple Juice</t>
        </is>
      </c>
      <c r="C4" s="6" t="inlineStr">
        <is>
          <t>Juice Base</t>
        </is>
      </c>
      <c r="D4" s="6" t="inlineStr">
        <is>
          <t>fl oz</t>
        </is>
      </c>
      <c r="E4" s="6" t="inlineStr">
        <is>
          <t>Valley Fresh Juices</t>
        </is>
      </c>
      <c r="F4" s="6" t="inlineStr">
        <is>
          <t>SKU-1021</t>
        </is>
      </c>
      <c r="G4" s="6" t="inlineStr">
        <is>
          <t>46 fl oz can</t>
        </is>
      </c>
      <c r="H4" s="7" t="n">
        <v>46</v>
      </c>
      <c r="I4" s="8" t="n">
        <v>3.4</v>
      </c>
      <c r="J4" s="8" t="n">
        <v>0.4</v>
      </c>
      <c r="K4" s="9">
        <f>IFERROR((I4+J4)/H4,0)</f>
        <v/>
      </c>
      <c r="L4" s="10" t="n">
        <v>3</v>
      </c>
      <c r="M4" s="10" t="n">
        <v>180</v>
      </c>
      <c r="N4" s="10" t="n">
        <v>6</v>
      </c>
      <c r="O4" s="7" t="n">
        <v>880</v>
      </c>
      <c r="P4" s="7" t="n">
        <v>552</v>
      </c>
      <c r="Q4" s="7" t="n">
        <v>1656</v>
      </c>
      <c r="R4" s="11">
        <f>COUNTIF(Recipes!$C$2:$C$1000,A4)</f>
        <v/>
      </c>
      <c r="S4" s="12">
        <f>SUMIFS(Recipes!$J$2:$J$1000,Recipes!$C$2:$C$1000,A4)</f>
        <v/>
      </c>
      <c r="T4" s="13">
        <f>IF(O4&lt;=P4,"REORDER","OK")</f>
        <v/>
      </c>
      <c r="U4" s="11">
        <f>IF(O4&lt;=P4,MAX(N4,ROUNDUP(MAX(Q4-O4,0)/H4,0)),0)</f>
        <v/>
      </c>
      <c r="V4" s="14">
        <f>U4*(I4+J4)</f>
        <v/>
      </c>
      <c r="W4" s="14">
        <f>MAX(O4,0)*K4</f>
        <v/>
      </c>
      <c r="X4" s="6" t="inlineStr"/>
    </row>
    <row r="5">
      <c r="A5" s="6" t="inlineStr">
        <is>
          <t>ING-004</t>
        </is>
      </c>
      <c r="B5" s="6" t="inlineStr">
        <is>
          <t>Coconut Water</t>
        </is>
      </c>
      <c r="C5" s="6" t="inlineStr">
        <is>
          <t>Juice Base</t>
        </is>
      </c>
      <c r="D5" s="6" t="inlineStr">
        <is>
          <t>fl oz</t>
        </is>
      </c>
      <c r="E5" s="6" t="inlineStr">
        <is>
          <t>Island Imports</t>
        </is>
      </c>
      <c r="F5" s="6" t="inlineStr">
        <is>
          <t>SKU-1028</t>
        </is>
      </c>
      <c r="G5" s="6" t="inlineStr">
        <is>
          <t>1 L carton x 12</t>
        </is>
      </c>
      <c r="H5" s="7" t="n">
        <v>405.6</v>
      </c>
      <c r="I5" s="8" t="n">
        <v>38</v>
      </c>
      <c r="J5" s="8" t="n">
        <v>6.5</v>
      </c>
      <c r="K5" s="9">
        <f>IFERROR((I5+J5)/H5,0)</f>
        <v/>
      </c>
      <c r="L5" s="10" t="n">
        <v>7</v>
      </c>
      <c r="M5" s="10" t="n">
        <v>270</v>
      </c>
      <c r="N5" s="10" t="n">
        <v>1</v>
      </c>
      <c r="O5" s="7" t="n">
        <v>2400</v>
      </c>
      <c r="P5" s="7" t="n">
        <v>1600</v>
      </c>
      <c r="Q5" s="7" t="n">
        <v>4800</v>
      </c>
      <c r="R5" s="11">
        <f>COUNTIF(Recipes!$C$2:$C$1000,A5)</f>
        <v/>
      </c>
      <c r="S5" s="12">
        <f>SUMIFS(Recipes!$J$2:$J$1000,Recipes!$C$2:$C$1000,A5)</f>
        <v/>
      </c>
      <c r="T5" s="13">
        <f>IF(O5&lt;=P5,"REORDER","OK")</f>
        <v/>
      </c>
      <c r="U5" s="11">
        <f>IF(O5&lt;=P5,MAX(N5,ROUNDUP(MAX(Q5-O5,0)/H5,0)),0)</f>
        <v/>
      </c>
      <c r="V5" s="14">
        <f>U5*(I5+J5)</f>
        <v/>
      </c>
      <c r="W5" s="14">
        <f>MAX(O5,0)*K5</f>
        <v/>
      </c>
      <c r="X5" s="6" t="inlineStr"/>
    </row>
    <row r="6">
      <c r="A6" s="6" t="inlineStr">
        <is>
          <t>ING-005</t>
        </is>
      </c>
      <c r="B6" s="6" t="inlineStr">
        <is>
          <t>Almond Milk</t>
        </is>
      </c>
      <c r="C6" s="6" t="inlineStr">
        <is>
          <t>Dairy &amp; Alt</t>
        </is>
      </c>
      <c r="D6" s="6" t="inlineStr">
        <is>
          <t>fl oz</t>
        </is>
      </c>
      <c r="E6" s="6" t="inlineStr">
        <is>
          <t>Sysco</t>
        </is>
      </c>
      <c r="F6" s="6" t="inlineStr">
        <is>
          <t>SKU-1035</t>
        </is>
      </c>
      <c r="G6" s="6" t="inlineStr">
        <is>
          <t>64 fl oz carton x 6</t>
        </is>
      </c>
      <c r="H6" s="7" t="n">
        <v>384</v>
      </c>
      <c r="I6" s="8" t="n">
        <v>21</v>
      </c>
      <c r="J6" s="8" t="n">
        <v>3</v>
      </c>
      <c r="K6" s="9">
        <f>IFERROR((I6+J6)/H6,0)</f>
        <v/>
      </c>
      <c r="L6" s="10" t="n">
        <v>4</v>
      </c>
      <c r="M6" s="10" t="n">
        <v>60</v>
      </c>
      <c r="N6" s="10" t="n">
        <v>1</v>
      </c>
      <c r="O6" s="7" t="n">
        <v>1200</v>
      </c>
      <c r="P6" s="7" t="n">
        <v>1000</v>
      </c>
      <c r="Q6" s="7" t="n">
        <v>3072</v>
      </c>
      <c r="R6" s="11">
        <f>COUNTIF(Recipes!$C$2:$C$1000,A6)</f>
        <v/>
      </c>
      <c r="S6" s="12">
        <f>SUMIFS(Recipes!$J$2:$J$1000,Recipes!$C$2:$C$1000,A6)</f>
        <v/>
      </c>
      <c r="T6" s="13">
        <f>IF(O6&lt;=P6,"REORDER","OK")</f>
        <v/>
      </c>
      <c r="U6" s="11">
        <f>IF(O6&lt;=P6,MAX(N6,ROUNDUP(MAX(Q6-O6,0)/H6,0)),0)</f>
        <v/>
      </c>
      <c r="V6" s="14">
        <f>U6*(I6+J6)</f>
        <v/>
      </c>
      <c r="W6" s="14">
        <f>MAX(O6,0)*K6</f>
        <v/>
      </c>
      <c r="X6" s="6" t="inlineStr"/>
    </row>
    <row r="7">
      <c r="A7" s="6" t="inlineStr">
        <is>
          <t>ING-006</t>
        </is>
      </c>
      <c r="B7" s="6" t="inlineStr">
        <is>
          <t>Greek Yogurt</t>
        </is>
      </c>
      <c r="C7" s="6" t="inlineStr">
        <is>
          <t>Dairy &amp; Alt</t>
        </is>
      </c>
      <c r="D7" s="6" t="inlineStr">
        <is>
          <t>oz</t>
        </is>
      </c>
      <c r="E7" s="6" t="inlineStr">
        <is>
          <t>Sysco</t>
        </is>
      </c>
      <c r="F7" s="6" t="inlineStr">
        <is>
          <t>SKU-1042</t>
        </is>
      </c>
      <c r="G7" s="6" t="inlineStr">
        <is>
          <t>32 oz tub x 6</t>
        </is>
      </c>
      <c r="H7" s="7" t="n">
        <v>192</v>
      </c>
      <c r="I7" s="8" t="n">
        <v>27</v>
      </c>
      <c r="J7" s="8" t="n">
        <v>3</v>
      </c>
      <c r="K7" s="9">
        <f>IFERROR((I7+J7)/H7,0)</f>
        <v/>
      </c>
      <c r="L7" s="10" t="n">
        <v>4</v>
      </c>
      <c r="M7" s="10" t="n">
        <v>21</v>
      </c>
      <c r="N7" s="10" t="n">
        <v>1</v>
      </c>
      <c r="O7" s="7" t="n">
        <v>380</v>
      </c>
      <c r="P7" s="7" t="n">
        <v>480</v>
      </c>
      <c r="Q7" s="7" t="n">
        <v>1536</v>
      </c>
      <c r="R7" s="11">
        <f>COUNTIF(Recipes!$C$2:$C$1000,A7)</f>
        <v/>
      </c>
      <c r="S7" s="12">
        <f>SUMIFS(Recipes!$J$2:$J$1000,Recipes!$C$2:$C$1000,A7)</f>
        <v/>
      </c>
      <c r="T7" s="13">
        <f>IF(O7&lt;=P7,"REORDER","OK")</f>
        <v/>
      </c>
      <c r="U7" s="11">
        <f>IF(O7&lt;=P7,MAX(N7,ROUNDUP(MAX(Q7-O7,0)/H7,0)),0)</f>
        <v/>
      </c>
      <c r="V7" s="14">
        <f>U7*(I7+J7)</f>
        <v/>
      </c>
      <c r="W7" s="14">
        <f>MAX(O7,0)*K7</f>
        <v/>
      </c>
      <c r="X7" s="6" t="inlineStr"/>
    </row>
    <row r="8">
      <c r="A8" s="6" t="inlineStr">
        <is>
          <t>ING-007</t>
        </is>
      </c>
      <c r="B8" s="6" t="inlineStr">
        <is>
          <t>Banana</t>
        </is>
      </c>
      <c r="C8" s="6" t="inlineStr">
        <is>
          <t>Fruit</t>
        </is>
      </c>
      <c r="D8" s="6" t="inlineStr">
        <is>
          <t>each</t>
        </is>
      </c>
      <c r="E8" s="6" t="inlineStr">
        <is>
          <t>GreenLeaf Produce</t>
        </is>
      </c>
      <c r="F8" s="6" t="inlineStr">
        <is>
          <t>SKU-1049</t>
        </is>
      </c>
      <c r="G8" s="6" t="inlineStr">
        <is>
          <t>40 lb case (~100 ct)</t>
        </is>
      </c>
      <c r="H8" s="7" t="n">
        <v>100</v>
      </c>
      <c r="I8" s="8" t="n">
        <v>28</v>
      </c>
      <c r="J8" s="8" t="n">
        <v>4</v>
      </c>
      <c r="K8" s="9">
        <f>IFERROR((I8+J8)/H8,0)</f>
        <v/>
      </c>
      <c r="L8" s="10" t="n">
        <v>2</v>
      </c>
      <c r="M8" s="10" t="n">
        <v>6</v>
      </c>
      <c r="N8" s="10" t="n">
        <v>1</v>
      </c>
      <c r="O8" s="7" t="n">
        <v>256</v>
      </c>
      <c r="P8" s="7" t="n">
        <v>200</v>
      </c>
      <c r="Q8" s="7" t="n">
        <v>800</v>
      </c>
      <c r="R8" s="11">
        <f>COUNTIF(Recipes!$C$2:$C$1000,A8)</f>
        <v/>
      </c>
      <c r="S8" s="12">
        <f>SUMIFS(Recipes!$J$2:$J$1000,Recipes!$C$2:$C$1000,A8)</f>
        <v/>
      </c>
      <c r="T8" s="13">
        <f>IF(O8&lt;=P8,"REORDER","OK")</f>
        <v/>
      </c>
      <c r="U8" s="11">
        <f>IF(O8&lt;=P8,MAX(N8,ROUNDUP(MAX(Q8-O8,0)/H8,0)),0)</f>
        <v/>
      </c>
      <c r="V8" s="14">
        <f>U8*(I8+J8)</f>
        <v/>
      </c>
      <c r="W8" s="14">
        <f>MAX(O8,0)*K8</f>
        <v/>
      </c>
      <c r="X8" s="6" t="inlineStr"/>
    </row>
    <row r="9">
      <c r="A9" s="6" t="inlineStr">
        <is>
          <t>ING-008</t>
        </is>
      </c>
      <c r="B9" s="6" t="inlineStr">
        <is>
          <t>Strawberries (frozen)</t>
        </is>
      </c>
      <c r="C9" s="6" t="inlineStr">
        <is>
          <t>Fruit</t>
        </is>
      </c>
      <c r="D9" s="6" t="inlineStr">
        <is>
          <t>oz</t>
        </is>
      </c>
      <c r="E9" s="6" t="inlineStr">
        <is>
          <t>Frosty Farms</t>
        </is>
      </c>
      <c r="F9" s="6" t="inlineStr">
        <is>
          <t>SKU-1056</t>
        </is>
      </c>
      <c r="G9" s="6" t="inlineStr">
        <is>
          <t>5 lb bag x 4</t>
        </is>
      </c>
      <c r="H9" s="7" t="n">
        <v>320</v>
      </c>
      <c r="I9" s="8" t="n">
        <v>42</v>
      </c>
      <c r="J9" s="8" t="n">
        <v>8</v>
      </c>
      <c r="K9" s="9">
        <f>IFERROR((I9+J9)/H9,0)</f>
        <v/>
      </c>
      <c r="L9" s="10" t="n">
        <v>5</v>
      </c>
      <c r="M9" s="10" t="n">
        <v>365</v>
      </c>
      <c r="N9" s="10" t="n">
        <v>1</v>
      </c>
      <c r="O9" s="7" t="n">
        <v>1640</v>
      </c>
      <c r="P9" s="7" t="n">
        <v>960</v>
      </c>
      <c r="Q9" s="7" t="n">
        <v>3840</v>
      </c>
      <c r="R9" s="11">
        <f>COUNTIF(Recipes!$C$2:$C$1000,A9)</f>
        <v/>
      </c>
      <c r="S9" s="12">
        <f>SUMIFS(Recipes!$J$2:$J$1000,Recipes!$C$2:$C$1000,A9)</f>
        <v/>
      </c>
      <c r="T9" s="13">
        <f>IF(O9&lt;=P9,"REORDER","OK")</f>
        <v/>
      </c>
      <c r="U9" s="11">
        <f>IF(O9&lt;=P9,MAX(N9,ROUNDUP(MAX(Q9-O9,0)/H9,0)),0)</f>
        <v/>
      </c>
      <c r="V9" s="14">
        <f>U9*(I9+J9)</f>
        <v/>
      </c>
      <c r="W9" s="14">
        <f>MAX(O9,0)*K9</f>
        <v/>
      </c>
      <c r="X9" s="6" t="inlineStr"/>
    </row>
    <row r="10">
      <c r="A10" s="6" t="inlineStr">
        <is>
          <t>ING-009</t>
        </is>
      </c>
      <c r="B10" s="6" t="inlineStr">
        <is>
          <t>Mango (frozen)</t>
        </is>
      </c>
      <c r="C10" s="6" t="inlineStr">
        <is>
          <t>Fruit</t>
        </is>
      </c>
      <c r="D10" s="6" t="inlineStr">
        <is>
          <t>oz</t>
        </is>
      </c>
      <c r="E10" s="6" t="inlineStr">
        <is>
          <t>Frosty Farms</t>
        </is>
      </c>
      <c r="F10" s="6" t="inlineStr">
        <is>
          <t>SKU-1063</t>
        </is>
      </c>
      <c r="G10" s="6" t="inlineStr">
        <is>
          <t>5 lb bag x 4</t>
        </is>
      </c>
      <c r="H10" s="7" t="n">
        <v>320</v>
      </c>
      <c r="I10" s="8" t="n">
        <v>46</v>
      </c>
      <c r="J10" s="8" t="n">
        <v>8</v>
      </c>
      <c r="K10" s="9">
        <f>IFERROR((I10+J10)/H10,0)</f>
        <v/>
      </c>
      <c r="L10" s="10" t="n">
        <v>5</v>
      </c>
      <c r="M10" s="10" t="n">
        <v>365</v>
      </c>
      <c r="N10" s="10" t="n">
        <v>1</v>
      </c>
      <c r="O10" s="7" t="n">
        <v>600</v>
      </c>
      <c r="P10" s="7" t="n">
        <v>960</v>
      </c>
      <c r="Q10" s="7" t="n">
        <v>3840</v>
      </c>
      <c r="R10" s="11">
        <f>COUNTIF(Recipes!$C$2:$C$1000,A10)</f>
        <v/>
      </c>
      <c r="S10" s="12">
        <f>SUMIFS(Recipes!$J$2:$J$1000,Recipes!$C$2:$C$1000,A10)</f>
        <v/>
      </c>
      <c r="T10" s="13">
        <f>IF(O10&lt;=P10,"REORDER","OK")</f>
        <v/>
      </c>
      <c r="U10" s="11">
        <f>IF(O10&lt;=P10,MAX(N10,ROUNDUP(MAX(Q10-O10,0)/H10,0)),0)</f>
        <v/>
      </c>
      <c r="V10" s="14">
        <f>U10*(I10+J10)</f>
        <v/>
      </c>
      <c r="W10" s="14">
        <f>MAX(O10,0)*K10</f>
        <v/>
      </c>
      <c r="X10" s="6" t="inlineStr"/>
    </row>
    <row r="11">
      <c r="A11" s="6" t="inlineStr">
        <is>
          <t>ING-010</t>
        </is>
      </c>
      <c r="B11" s="6" t="inlineStr">
        <is>
          <t>Peach (frozen)</t>
        </is>
      </c>
      <c r="C11" s="6" t="inlineStr">
        <is>
          <t>Fruit</t>
        </is>
      </c>
      <c r="D11" s="6" t="inlineStr">
        <is>
          <t>oz</t>
        </is>
      </c>
      <c r="E11" s="6" t="inlineStr">
        <is>
          <t>Frosty Farms</t>
        </is>
      </c>
      <c r="F11" s="6" t="inlineStr">
        <is>
          <t>SKU-1070</t>
        </is>
      </c>
      <c r="G11" s="6" t="inlineStr">
        <is>
          <t>5 lb bag x 4</t>
        </is>
      </c>
      <c r="H11" s="7" t="n">
        <v>320</v>
      </c>
      <c r="I11" s="8" t="n">
        <v>44</v>
      </c>
      <c r="J11" s="8" t="n">
        <v>8</v>
      </c>
      <c r="K11" s="9">
        <f>IFERROR((I11+J11)/H11,0)</f>
        <v/>
      </c>
      <c r="L11" s="10" t="n">
        <v>5</v>
      </c>
      <c r="M11" s="10" t="n">
        <v>365</v>
      </c>
      <c r="N11" s="10" t="n">
        <v>1</v>
      </c>
      <c r="O11" s="7" t="n">
        <v>2080</v>
      </c>
      <c r="P11" s="7" t="n">
        <v>960</v>
      </c>
      <c r="Q11" s="7" t="n">
        <v>3840</v>
      </c>
      <c r="R11" s="11">
        <f>COUNTIF(Recipes!$C$2:$C$1000,A11)</f>
        <v/>
      </c>
      <c r="S11" s="12">
        <f>SUMIFS(Recipes!$J$2:$J$1000,Recipes!$C$2:$C$1000,A11)</f>
        <v/>
      </c>
      <c r="T11" s="13">
        <f>IF(O11&lt;=P11,"REORDER","OK")</f>
        <v/>
      </c>
      <c r="U11" s="11">
        <f>IF(O11&lt;=P11,MAX(N11,ROUNDUP(MAX(Q11-O11,0)/H11,0)),0)</f>
        <v/>
      </c>
      <c r="V11" s="14">
        <f>U11*(I11+J11)</f>
        <v/>
      </c>
      <c r="W11" s="14">
        <f>MAX(O11,0)*K11</f>
        <v/>
      </c>
      <c r="X11" s="6" t="inlineStr"/>
    </row>
    <row r="12">
      <c r="A12" s="6" t="inlineStr">
        <is>
          <t>ING-011</t>
        </is>
      </c>
      <c r="B12" s="6" t="inlineStr">
        <is>
          <t>Blueberries (frozen)</t>
        </is>
      </c>
      <c r="C12" s="6" t="inlineStr">
        <is>
          <t>Fruit</t>
        </is>
      </c>
      <c r="D12" s="6" t="inlineStr">
        <is>
          <t>oz</t>
        </is>
      </c>
      <c r="E12" s="6" t="inlineStr">
        <is>
          <t>Frosty Farms</t>
        </is>
      </c>
      <c r="F12" s="6" t="inlineStr">
        <is>
          <t>SKU-1077</t>
        </is>
      </c>
      <c r="G12" s="6" t="inlineStr">
        <is>
          <t>5 lb bag x 4</t>
        </is>
      </c>
      <c r="H12" s="7" t="n">
        <v>320</v>
      </c>
      <c r="I12" s="8" t="n">
        <v>58</v>
      </c>
      <c r="J12" s="8" t="n">
        <v>8</v>
      </c>
      <c r="K12" s="9">
        <f>IFERROR((I12+J12)/H12,0)</f>
        <v/>
      </c>
      <c r="L12" s="10" t="n">
        <v>5</v>
      </c>
      <c r="M12" s="10" t="n">
        <v>365</v>
      </c>
      <c r="N12" s="10" t="n">
        <v>1</v>
      </c>
      <c r="O12" s="7" t="n">
        <v>1560</v>
      </c>
      <c r="P12" s="7" t="n">
        <v>960</v>
      </c>
      <c r="Q12" s="7" t="n">
        <v>3840</v>
      </c>
      <c r="R12" s="11">
        <f>COUNTIF(Recipes!$C$2:$C$1000,A12)</f>
        <v/>
      </c>
      <c r="S12" s="12">
        <f>SUMIFS(Recipes!$J$2:$J$1000,Recipes!$C$2:$C$1000,A12)</f>
        <v/>
      </c>
      <c r="T12" s="13">
        <f>IF(O12&lt;=P12,"REORDER","OK")</f>
        <v/>
      </c>
      <c r="U12" s="11">
        <f>IF(O12&lt;=P12,MAX(N12,ROUNDUP(MAX(Q12-O12,0)/H12,0)),0)</f>
        <v/>
      </c>
      <c r="V12" s="14">
        <f>U12*(I12+J12)</f>
        <v/>
      </c>
      <c r="W12" s="14">
        <f>MAX(O12,0)*K12</f>
        <v/>
      </c>
      <c r="X12" s="6" t="inlineStr"/>
    </row>
    <row r="13">
      <c r="A13" s="6" t="inlineStr">
        <is>
          <t>ING-012</t>
        </is>
      </c>
      <c r="B13" s="6" t="inlineStr">
        <is>
          <t>Pineapple Chunks</t>
        </is>
      </c>
      <c r="C13" s="6" t="inlineStr">
        <is>
          <t>Fruit</t>
        </is>
      </c>
      <c r="D13" s="6" t="inlineStr">
        <is>
          <t>oz</t>
        </is>
      </c>
      <c r="E13" s="6" t="inlineStr">
        <is>
          <t>GreenLeaf Produce</t>
        </is>
      </c>
      <c r="F13" s="6" t="inlineStr">
        <is>
          <t>SKU-1084</t>
        </is>
      </c>
      <c r="G13" s="6" t="inlineStr">
        <is>
          <t>10 lb case</t>
        </is>
      </c>
      <c r="H13" s="7" t="n">
        <v>160</v>
      </c>
      <c r="I13" s="8" t="n">
        <v>22</v>
      </c>
      <c r="J13" s="8" t="n">
        <v>3</v>
      </c>
      <c r="K13" s="9">
        <f>IFERROR((I13+J13)/H13,0)</f>
        <v/>
      </c>
      <c r="L13" s="10" t="n">
        <v>2</v>
      </c>
      <c r="M13" s="10" t="n">
        <v>5</v>
      </c>
      <c r="N13" s="10" t="n">
        <v>1</v>
      </c>
      <c r="O13" s="7" t="n">
        <v>280</v>
      </c>
      <c r="P13" s="7" t="n">
        <v>256</v>
      </c>
      <c r="Q13" s="7" t="n">
        <v>960</v>
      </c>
      <c r="R13" s="11">
        <f>COUNTIF(Recipes!$C$2:$C$1000,A13)</f>
        <v/>
      </c>
      <c r="S13" s="12">
        <f>SUMIFS(Recipes!$J$2:$J$1000,Recipes!$C$2:$C$1000,A13)</f>
        <v/>
      </c>
      <c r="T13" s="13">
        <f>IF(O13&lt;=P13,"REORDER","OK")</f>
        <v/>
      </c>
      <c r="U13" s="11">
        <f>IF(O13&lt;=P13,MAX(N13,ROUNDUP(MAX(Q13-O13,0)/H13,0)),0)</f>
        <v/>
      </c>
      <c r="V13" s="14">
        <f>U13*(I13+J13)</f>
        <v/>
      </c>
      <c r="W13" s="14">
        <f>MAX(O13,0)*K13</f>
        <v/>
      </c>
      <c r="X13" s="6" t="inlineStr"/>
    </row>
    <row r="14">
      <c r="A14" s="6" t="inlineStr">
        <is>
          <t>ING-013</t>
        </is>
      </c>
      <c r="B14" s="6" t="inlineStr">
        <is>
          <t>Lemon</t>
        </is>
      </c>
      <c r="C14" s="6" t="inlineStr">
        <is>
          <t>Fruit</t>
        </is>
      </c>
      <c r="D14" s="6" t="inlineStr">
        <is>
          <t>each</t>
        </is>
      </c>
      <c r="E14" s="6" t="inlineStr">
        <is>
          <t>GreenLeaf Produce</t>
        </is>
      </c>
      <c r="F14" s="6" t="inlineStr">
        <is>
          <t>SKU-1091</t>
        </is>
      </c>
      <c r="G14" s="6" t="inlineStr">
        <is>
          <t>Case of 115</t>
        </is>
      </c>
      <c r="H14" s="7" t="n">
        <v>115</v>
      </c>
      <c r="I14" s="8" t="n">
        <v>36</v>
      </c>
      <c r="J14" s="8" t="n">
        <v>4</v>
      </c>
      <c r="K14" s="9">
        <f>IFERROR((I14+J14)/H14,0)</f>
        <v/>
      </c>
      <c r="L14" s="10" t="n">
        <v>2</v>
      </c>
      <c r="M14" s="10" t="n">
        <v>21</v>
      </c>
      <c r="N14" s="10" t="n">
        <v>1</v>
      </c>
      <c r="O14" s="7" t="n">
        <v>192</v>
      </c>
      <c r="P14" s="7" t="n">
        <v>120</v>
      </c>
      <c r="Q14" s="7" t="n">
        <v>460</v>
      </c>
      <c r="R14" s="11">
        <f>COUNTIF(Recipes!$C$2:$C$1000,A14)</f>
        <v/>
      </c>
      <c r="S14" s="12">
        <f>SUMIFS(Recipes!$J$2:$J$1000,Recipes!$C$2:$C$1000,A14)</f>
        <v/>
      </c>
      <c r="T14" s="13">
        <f>IF(O14&lt;=P14,"REORDER","OK")</f>
        <v/>
      </c>
      <c r="U14" s="11">
        <f>IF(O14&lt;=P14,MAX(N14,ROUNDUP(MAX(Q14-O14,0)/H14,0)),0)</f>
        <v/>
      </c>
      <c r="V14" s="14">
        <f>U14*(I14+J14)</f>
        <v/>
      </c>
      <c r="W14" s="14">
        <f>MAX(O14,0)*K14</f>
        <v/>
      </c>
      <c r="X14" s="6" t="inlineStr"/>
    </row>
    <row r="15">
      <c r="A15" s="6" t="inlineStr">
        <is>
          <t>ING-014</t>
        </is>
      </c>
      <c r="B15" s="6" t="inlineStr">
        <is>
          <t>Spinach</t>
        </is>
      </c>
      <c r="C15" s="6" t="inlineStr">
        <is>
          <t>Greens</t>
        </is>
      </c>
      <c r="D15" s="6" t="inlineStr">
        <is>
          <t>oz</t>
        </is>
      </c>
      <c r="E15" s="6" t="inlineStr">
        <is>
          <t>GreenLeaf Produce</t>
        </is>
      </c>
      <c r="F15" s="6" t="inlineStr">
        <is>
          <t>SKU-1098</t>
        </is>
      </c>
      <c r="G15" s="6" t="inlineStr">
        <is>
          <t>4 lb case</t>
        </is>
      </c>
      <c r="H15" s="7" t="n">
        <v>64</v>
      </c>
      <c r="I15" s="8" t="n">
        <v>14</v>
      </c>
      <c r="J15" s="8" t="n">
        <v>2.5</v>
      </c>
      <c r="K15" s="9">
        <f>IFERROR((I15+J15)/H15,0)</f>
        <v/>
      </c>
      <c r="L15" s="10" t="n">
        <v>2</v>
      </c>
      <c r="M15" s="10" t="n">
        <v>7</v>
      </c>
      <c r="N15" s="10" t="n">
        <v>1</v>
      </c>
      <c r="O15" s="7" t="n">
        <v>120</v>
      </c>
      <c r="P15" s="7" t="n">
        <v>128</v>
      </c>
      <c r="Q15" s="7" t="n">
        <v>512</v>
      </c>
      <c r="R15" s="11">
        <f>COUNTIF(Recipes!$C$2:$C$1000,A15)</f>
        <v/>
      </c>
      <c r="S15" s="12">
        <f>SUMIFS(Recipes!$J$2:$J$1000,Recipes!$C$2:$C$1000,A15)</f>
        <v/>
      </c>
      <c r="T15" s="13">
        <f>IF(O15&lt;=P15,"REORDER","OK")</f>
        <v/>
      </c>
      <c r="U15" s="11">
        <f>IF(O15&lt;=P15,MAX(N15,ROUNDUP(MAX(Q15-O15,0)/H15,0)),0)</f>
        <v/>
      </c>
      <c r="V15" s="14">
        <f>U15*(I15+J15)</f>
        <v/>
      </c>
      <c r="W15" s="14">
        <f>MAX(O15,0)*K15</f>
        <v/>
      </c>
      <c r="X15" s="6" t="inlineStr"/>
    </row>
    <row r="16">
      <c r="A16" s="6" t="inlineStr">
        <is>
          <t>ING-015</t>
        </is>
      </c>
      <c r="B16" s="6" t="inlineStr">
        <is>
          <t>Kale</t>
        </is>
      </c>
      <c r="C16" s="6" t="inlineStr">
        <is>
          <t>Greens</t>
        </is>
      </c>
      <c r="D16" s="6" t="inlineStr">
        <is>
          <t>oz</t>
        </is>
      </c>
      <c r="E16" s="6" t="inlineStr">
        <is>
          <t>GreenLeaf Produce</t>
        </is>
      </c>
      <c r="F16" s="6" t="inlineStr">
        <is>
          <t>SKU-1105</t>
        </is>
      </c>
      <c r="G16" s="6" t="inlineStr">
        <is>
          <t>4 lb case</t>
        </is>
      </c>
      <c r="H16" s="7" t="n">
        <v>64</v>
      </c>
      <c r="I16" s="8" t="n">
        <v>15.5</v>
      </c>
      <c r="J16" s="8" t="n">
        <v>2.5</v>
      </c>
      <c r="K16" s="9">
        <f>IFERROR((I16+J16)/H16,0)</f>
        <v/>
      </c>
      <c r="L16" s="10" t="n">
        <v>2</v>
      </c>
      <c r="M16" s="10" t="n">
        <v>7</v>
      </c>
      <c r="N16" s="10" t="n">
        <v>1</v>
      </c>
      <c r="O16" s="7" t="n">
        <v>280</v>
      </c>
      <c r="P16" s="7" t="n">
        <v>128</v>
      </c>
      <c r="Q16" s="7" t="n">
        <v>512</v>
      </c>
      <c r="R16" s="11">
        <f>COUNTIF(Recipes!$C$2:$C$1000,A16)</f>
        <v/>
      </c>
      <c r="S16" s="12">
        <f>SUMIFS(Recipes!$J$2:$J$1000,Recipes!$C$2:$C$1000,A16)</f>
        <v/>
      </c>
      <c r="T16" s="13">
        <f>IF(O16&lt;=P16,"REORDER","OK")</f>
        <v/>
      </c>
      <c r="U16" s="11">
        <f>IF(O16&lt;=P16,MAX(N16,ROUNDUP(MAX(Q16-O16,0)/H16,0)),0)</f>
        <v/>
      </c>
      <c r="V16" s="14">
        <f>U16*(I16+J16)</f>
        <v/>
      </c>
      <c r="W16" s="14">
        <f>MAX(O16,0)*K16</f>
        <v/>
      </c>
      <c r="X16" s="6" t="inlineStr"/>
    </row>
    <row r="17">
      <c r="A17" s="6" t="inlineStr">
        <is>
          <t>ING-016</t>
        </is>
      </c>
      <c r="B17" s="6" t="inlineStr">
        <is>
          <t>Cucumber</t>
        </is>
      </c>
      <c r="C17" s="6" t="inlineStr">
        <is>
          <t>Greens</t>
        </is>
      </c>
      <c r="D17" s="6" t="inlineStr">
        <is>
          <t>each</t>
        </is>
      </c>
      <c r="E17" s="6" t="inlineStr">
        <is>
          <t>GreenLeaf Produce</t>
        </is>
      </c>
      <c r="F17" s="6" t="inlineStr">
        <is>
          <t>SKU-1112</t>
        </is>
      </c>
      <c r="G17" s="6" t="inlineStr">
        <is>
          <t>Case of 24</t>
        </is>
      </c>
      <c r="H17" s="7" t="n">
        <v>24</v>
      </c>
      <c r="I17" s="8" t="n">
        <v>18</v>
      </c>
      <c r="J17" s="8" t="n">
        <v>2.5</v>
      </c>
      <c r="K17" s="9">
        <f>IFERROR((I17+J17)/H17,0)</f>
        <v/>
      </c>
      <c r="L17" s="10" t="n">
        <v>2</v>
      </c>
      <c r="M17" s="10" t="n">
        <v>10</v>
      </c>
      <c r="N17" s="10" t="n">
        <v>1</v>
      </c>
      <c r="O17" s="7" t="n">
        <v>80</v>
      </c>
      <c r="P17" s="7" t="n">
        <v>40</v>
      </c>
      <c r="Q17" s="7" t="n">
        <v>192</v>
      </c>
      <c r="R17" s="11">
        <f>COUNTIF(Recipes!$C$2:$C$1000,A17)</f>
        <v/>
      </c>
      <c r="S17" s="12">
        <f>SUMIFS(Recipes!$J$2:$J$1000,Recipes!$C$2:$C$1000,A17)</f>
        <v/>
      </c>
      <c r="T17" s="13">
        <f>IF(O17&lt;=P17,"REORDER","OK")</f>
        <v/>
      </c>
      <c r="U17" s="11">
        <f>IF(O17&lt;=P17,MAX(N17,ROUNDUP(MAX(Q17-O17,0)/H17,0)),0)</f>
        <v/>
      </c>
      <c r="V17" s="14">
        <f>U17*(I17+J17)</f>
        <v/>
      </c>
      <c r="W17" s="14">
        <f>MAX(O17,0)*K17</f>
        <v/>
      </c>
      <c r="X17" s="6" t="inlineStr"/>
    </row>
    <row r="18">
      <c r="A18" s="6" t="inlineStr">
        <is>
          <t>ING-017</t>
        </is>
      </c>
      <c r="B18" s="6" t="inlineStr">
        <is>
          <t>Celery</t>
        </is>
      </c>
      <c r="C18" s="6" t="inlineStr">
        <is>
          <t>Greens</t>
        </is>
      </c>
      <c r="D18" s="6" t="inlineStr">
        <is>
          <t>oz</t>
        </is>
      </c>
      <c r="E18" s="6" t="inlineStr">
        <is>
          <t>GreenLeaf Produce</t>
        </is>
      </c>
      <c r="F18" s="6" t="inlineStr">
        <is>
          <t>SKU-1119</t>
        </is>
      </c>
      <c r="G18" s="6" t="inlineStr">
        <is>
          <t>30 lb case</t>
        </is>
      </c>
      <c r="H18" s="7" t="n">
        <v>480</v>
      </c>
      <c r="I18" s="8" t="n">
        <v>32</v>
      </c>
      <c r="J18" s="8" t="n">
        <v>4</v>
      </c>
      <c r="K18" s="9">
        <f>IFERROR((I18+J18)/H18,0)</f>
        <v/>
      </c>
      <c r="L18" s="10" t="n">
        <v>2</v>
      </c>
      <c r="M18" s="10" t="n">
        <v>14</v>
      </c>
      <c r="N18" s="10" t="n">
        <v>1</v>
      </c>
      <c r="O18" s="7" t="n">
        <v>1200</v>
      </c>
      <c r="P18" s="7" t="n">
        <v>640</v>
      </c>
      <c r="Q18" s="7" t="n">
        <v>1920</v>
      </c>
      <c r="R18" s="11">
        <f>COUNTIF(Recipes!$C$2:$C$1000,A18)</f>
        <v/>
      </c>
      <c r="S18" s="12">
        <f>SUMIFS(Recipes!$J$2:$J$1000,Recipes!$C$2:$C$1000,A18)</f>
        <v/>
      </c>
      <c r="T18" s="13">
        <f>IF(O18&lt;=P18,"REORDER","OK")</f>
        <v/>
      </c>
      <c r="U18" s="11">
        <f>IF(O18&lt;=P18,MAX(N18,ROUNDUP(MAX(Q18-O18,0)/H18,0)),0)</f>
        <v/>
      </c>
      <c r="V18" s="14">
        <f>U18*(I18+J18)</f>
        <v/>
      </c>
      <c r="W18" s="14">
        <f>MAX(O18,0)*K18</f>
        <v/>
      </c>
      <c r="X18" s="6" t="inlineStr"/>
    </row>
    <row r="19">
      <c r="A19" s="6" t="inlineStr">
        <is>
          <t>ING-018</t>
        </is>
      </c>
      <c r="B19" s="6" t="inlineStr">
        <is>
          <t>Carrot</t>
        </is>
      </c>
      <c r="C19" s="6" t="inlineStr">
        <is>
          <t>Vegetable</t>
        </is>
      </c>
      <c r="D19" s="6" t="inlineStr">
        <is>
          <t>oz</t>
        </is>
      </c>
      <c r="E19" s="6" t="inlineStr">
        <is>
          <t>GreenLeaf Produce</t>
        </is>
      </c>
      <c r="F19" s="6" t="inlineStr">
        <is>
          <t>SKU-1126</t>
        </is>
      </c>
      <c r="G19" s="6" t="inlineStr">
        <is>
          <t>25 lb bag</t>
        </is>
      </c>
      <c r="H19" s="7" t="n">
        <v>400</v>
      </c>
      <c r="I19" s="8" t="n">
        <v>19</v>
      </c>
      <c r="J19" s="8" t="n">
        <v>3</v>
      </c>
      <c r="K19" s="9">
        <f>IFERROR((I19+J19)/H19,0)</f>
        <v/>
      </c>
      <c r="L19" s="10" t="n">
        <v>2</v>
      </c>
      <c r="M19" s="10" t="n">
        <v>28</v>
      </c>
      <c r="N19" s="10" t="n">
        <v>1</v>
      </c>
      <c r="O19" s="7" t="n">
        <v>1040</v>
      </c>
      <c r="P19" s="7" t="n">
        <v>640</v>
      </c>
      <c r="Q19" s="7" t="n">
        <v>3200</v>
      </c>
      <c r="R19" s="11">
        <f>COUNTIF(Recipes!$C$2:$C$1000,A19)</f>
        <v/>
      </c>
      <c r="S19" s="12">
        <f>SUMIFS(Recipes!$J$2:$J$1000,Recipes!$C$2:$C$1000,A19)</f>
        <v/>
      </c>
      <c r="T19" s="13">
        <f>IF(O19&lt;=P19,"REORDER","OK")</f>
        <v/>
      </c>
      <c r="U19" s="11">
        <f>IF(O19&lt;=P19,MAX(N19,ROUNDUP(MAX(Q19-O19,0)/H19,0)),0)</f>
        <v/>
      </c>
      <c r="V19" s="14">
        <f>U19*(I19+J19)</f>
        <v/>
      </c>
      <c r="W19" s="14">
        <f>MAX(O19,0)*K19</f>
        <v/>
      </c>
      <c r="X19" s="6" t="inlineStr"/>
    </row>
    <row r="20">
      <c r="A20" s="6" t="inlineStr">
        <is>
          <t>ING-019</t>
        </is>
      </c>
      <c r="B20" s="6" t="inlineStr">
        <is>
          <t>Beet</t>
        </is>
      </c>
      <c r="C20" s="6" t="inlineStr">
        <is>
          <t>Vegetable</t>
        </is>
      </c>
      <c r="D20" s="6" t="inlineStr">
        <is>
          <t>oz</t>
        </is>
      </c>
      <c r="E20" s="6" t="inlineStr">
        <is>
          <t>GreenLeaf Produce</t>
        </is>
      </c>
      <c r="F20" s="6" t="inlineStr">
        <is>
          <t>SKU-1133</t>
        </is>
      </c>
      <c r="G20" s="6" t="inlineStr">
        <is>
          <t>25 lb bag</t>
        </is>
      </c>
      <c r="H20" s="7" t="n">
        <v>400</v>
      </c>
      <c r="I20" s="8" t="n">
        <v>24</v>
      </c>
      <c r="J20" s="8" t="n">
        <v>3</v>
      </c>
      <c r="K20" s="9">
        <f>IFERROR((I20+J20)/H20,0)</f>
        <v/>
      </c>
      <c r="L20" s="10" t="n">
        <v>2</v>
      </c>
      <c r="M20" s="10" t="n">
        <v>28</v>
      </c>
      <c r="N20" s="10" t="n">
        <v>1</v>
      </c>
      <c r="O20" s="7" t="n">
        <v>840</v>
      </c>
      <c r="P20" s="7" t="n">
        <v>400</v>
      </c>
      <c r="Q20" s="7" t="n">
        <v>1600</v>
      </c>
      <c r="R20" s="11">
        <f>COUNTIF(Recipes!$C$2:$C$1000,A20)</f>
        <v/>
      </c>
      <c r="S20" s="12">
        <f>SUMIFS(Recipes!$J$2:$J$1000,Recipes!$C$2:$C$1000,A20)</f>
        <v/>
      </c>
      <c r="T20" s="13">
        <f>IF(O20&lt;=P20,"REORDER","OK")</f>
        <v/>
      </c>
      <c r="U20" s="11">
        <f>IF(O20&lt;=P20,MAX(N20,ROUNDUP(MAX(Q20-O20,0)/H20,0)),0)</f>
        <v/>
      </c>
      <c r="V20" s="14">
        <f>U20*(I20+J20)</f>
        <v/>
      </c>
      <c r="W20" s="14">
        <f>MAX(O20,0)*K20</f>
        <v/>
      </c>
      <c r="X20" s="6" t="inlineStr"/>
    </row>
    <row r="21">
      <c r="A21" s="6" t="inlineStr">
        <is>
          <t>ING-020</t>
        </is>
      </c>
      <c r="B21" s="6" t="inlineStr">
        <is>
          <t>Ginger Root</t>
        </is>
      </c>
      <c r="C21" s="6" t="inlineStr">
        <is>
          <t>Vegetable</t>
        </is>
      </c>
      <c r="D21" s="6" t="inlineStr">
        <is>
          <t>oz</t>
        </is>
      </c>
      <c r="E21" s="6" t="inlineStr">
        <is>
          <t>GreenLeaf Produce</t>
        </is>
      </c>
      <c r="F21" s="6" t="inlineStr">
        <is>
          <t>SKU-1140</t>
        </is>
      </c>
      <c r="G21" s="6" t="inlineStr">
        <is>
          <t>5 lb box</t>
        </is>
      </c>
      <c r="H21" s="7" t="n">
        <v>80</v>
      </c>
      <c r="I21" s="8" t="n">
        <v>22</v>
      </c>
      <c r="J21" s="8" t="n">
        <v>1.5</v>
      </c>
      <c r="K21" s="9">
        <f>IFERROR((I21+J21)/H21,0)</f>
        <v/>
      </c>
      <c r="L21" s="10" t="n">
        <v>2</v>
      </c>
      <c r="M21" s="10" t="n">
        <v>30</v>
      </c>
      <c r="N21" s="10" t="n">
        <v>1</v>
      </c>
      <c r="O21" s="7" t="n">
        <v>96</v>
      </c>
      <c r="P21" s="7" t="n">
        <v>64</v>
      </c>
      <c r="Q21" s="7" t="n">
        <v>320</v>
      </c>
      <c r="R21" s="11">
        <f>COUNTIF(Recipes!$C$2:$C$1000,A21)</f>
        <v/>
      </c>
      <c r="S21" s="12">
        <f>SUMIFS(Recipes!$J$2:$J$1000,Recipes!$C$2:$C$1000,A21)</f>
        <v/>
      </c>
      <c r="T21" s="13">
        <f>IF(O21&lt;=P21,"REORDER","OK")</f>
        <v/>
      </c>
      <c r="U21" s="11">
        <f>IF(O21&lt;=P21,MAX(N21,ROUNDUP(MAX(Q21-O21,0)/H21,0)),0)</f>
        <v/>
      </c>
      <c r="V21" s="14">
        <f>U21*(I21+J21)</f>
        <v/>
      </c>
      <c r="W21" s="14">
        <f>MAX(O21,0)*K21</f>
        <v/>
      </c>
      <c r="X21" s="6" t="inlineStr"/>
    </row>
    <row r="22">
      <c r="A22" s="6" t="inlineStr">
        <is>
          <t>ING-021</t>
        </is>
      </c>
      <c r="B22" s="6" t="inlineStr">
        <is>
          <t>Turmeric Root</t>
        </is>
      </c>
      <c r="C22" s="6" t="inlineStr">
        <is>
          <t>Vegetable</t>
        </is>
      </c>
      <c r="D22" s="6" t="inlineStr">
        <is>
          <t>oz</t>
        </is>
      </c>
      <c r="E22" s="6" t="inlineStr">
        <is>
          <t>GreenLeaf Produce</t>
        </is>
      </c>
      <c r="F22" s="6" t="inlineStr">
        <is>
          <t>SKU-1147</t>
        </is>
      </c>
      <c r="G22" s="6" t="inlineStr">
        <is>
          <t>1 lb bag</t>
        </is>
      </c>
      <c r="H22" s="7" t="n">
        <v>16</v>
      </c>
      <c r="I22" s="8" t="n">
        <v>8.5</v>
      </c>
      <c r="J22" s="8" t="n">
        <v>0.75</v>
      </c>
      <c r="K22" s="9">
        <f>IFERROR((I22+J22)/H22,0)</f>
        <v/>
      </c>
      <c r="L22" s="10" t="n">
        <v>2</v>
      </c>
      <c r="M22" s="10" t="n">
        <v>21</v>
      </c>
      <c r="N22" s="10" t="n">
        <v>2</v>
      </c>
      <c r="O22" s="7" t="n">
        <v>72</v>
      </c>
      <c r="P22" s="7" t="n">
        <v>32</v>
      </c>
      <c r="Q22" s="7" t="n">
        <v>128</v>
      </c>
      <c r="R22" s="11">
        <f>COUNTIF(Recipes!$C$2:$C$1000,A22)</f>
        <v/>
      </c>
      <c r="S22" s="12">
        <f>SUMIFS(Recipes!$J$2:$J$1000,Recipes!$C$2:$C$1000,A22)</f>
        <v/>
      </c>
      <c r="T22" s="13">
        <f>IF(O22&lt;=P22,"REORDER","OK")</f>
        <v/>
      </c>
      <c r="U22" s="11">
        <f>IF(O22&lt;=P22,MAX(N22,ROUNDUP(MAX(Q22-O22,0)/H22,0)),0)</f>
        <v/>
      </c>
      <c r="V22" s="14">
        <f>U22*(I22+J22)</f>
        <v/>
      </c>
      <c r="W22" s="14">
        <f>MAX(O22,0)*K22</f>
        <v/>
      </c>
      <c r="X22" s="6" t="inlineStr"/>
    </row>
    <row r="23">
      <c r="A23" s="6" t="inlineStr">
        <is>
          <t>ING-022</t>
        </is>
      </c>
      <c r="B23" s="6" t="inlineStr">
        <is>
          <t>Mint</t>
        </is>
      </c>
      <c r="C23" s="6" t="inlineStr">
        <is>
          <t>Herbs</t>
        </is>
      </c>
      <c r="D23" s="6" t="inlineStr">
        <is>
          <t>oz</t>
        </is>
      </c>
      <c r="E23" s="6" t="inlineStr">
        <is>
          <t>GreenLeaf Produce</t>
        </is>
      </c>
      <c r="F23" s="6" t="inlineStr">
        <is>
          <t>SKU-1154</t>
        </is>
      </c>
      <c r="G23" s="6" t="inlineStr">
        <is>
          <t>1 lb bunch case</t>
        </is>
      </c>
      <c r="H23" s="7" t="n">
        <v>16</v>
      </c>
      <c r="I23" s="8" t="n">
        <v>12</v>
      </c>
      <c r="J23" s="8" t="n">
        <v>1</v>
      </c>
      <c r="K23" s="9">
        <f>IFERROR((I23+J23)/H23,0)</f>
        <v/>
      </c>
      <c r="L23" s="10" t="n">
        <v>2</v>
      </c>
      <c r="M23" s="10" t="n">
        <v>7</v>
      </c>
      <c r="N23" s="10" t="n">
        <v>1</v>
      </c>
      <c r="O23" s="7" t="n">
        <v>36</v>
      </c>
      <c r="P23" s="7" t="n">
        <v>16</v>
      </c>
      <c r="Q23" s="7" t="n">
        <v>64</v>
      </c>
      <c r="R23" s="11">
        <f>COUNTIF(Recipes!$C$2:$C$1000,A23)</f>
        <v/>
      </c>
      <c r="S23" s="12">
        <f>SUMIFS(Recipes!$J$2:$J$1000,Recipes!$C$2:$C$1000,A23)</f>
        <v/>
      </c>
      <c r="T23" s="13">
        <f>IF(O23&lt;=P23,"REORDER","OK")</f>
        <v/>
      </c>
      <c r="U23" s="11">
        <f>IF(O23&lt;=P23,MAX(N23,ROUNDUP(MAX(Q23-O23,0)/H23,0)),0)</f>
        <v/>
      </c>
      <c r="V23" s="14">
        <f>U23*(I23+J23)</f>
        <v/>
      </c>
      <c r="W23" s="14">
        <f>MAX(O23,0)*K23</f>
        <v/>
      </c>
      <c r="X23" s="6" t="inlineStr"/>
    </row>
    <row r="24">
      <c r="A24" s="6" t="inlineStr">
        <is>
          <t>ING-023</t>
        </is>
      </c>
      <c r="B24" s="6" t="inlineStr">
        <is>
          <t>Honey</t>
        </is>
      </c>
      <c r="C24" s="6" t="inlineStr">
        <is>
          <t>Sweetener</t>
        </is>
      </c>
      <c r="D24" s="6" t="inlineStr">
        <is>
          <t>oz</t>
        </is>
      </c>
      <c r="E24" s="6" t="inlineStr">
        <is>
          <t>Bee Happy Apiary</t>
        </is>
      </c>
      <c r="F24" s="6" t="inlineStr">
        <is>
          <t>SKU-1161</t>
        </is>
      </c>
      <c r="G24" s="6" t="inlineStr">
        <is>
          <t>5 lb jar</t>
        </is>
      </c>
      <c r="H24" s="7" t="n">
        <v>80</v>
      </c>
      <c r="I24" s="8" t="n">
        <v>32</v>
      </c>
      <c r="J24" s="8" t="n">
        <v>5</v>
      </c>
      <c r="K24" s="9">
        <f>IFERROR((I24+J24)/H24,0)</f>
        <v/>
      </c>
      <c r="L24" s="10" t="n">
        <v>6</v>
      </c>
      <c r="M24" s="10" t="n">
        <v>730</v>
      </c>
      <c r="N24" s="10" t="n">
        <v>1</v>
      </c>
      <c r="O24" s="7" t="n">
        <v>240</v>
      </c>
      <c r="P24" s="7" t="n">
        <v>96</v>
      </c>
      <c r="Q24" s="7" t="n">
        <v>640</v>
      </c>
      <c r="R24" s="11">
        <f>COUNTIF(Recipes!$C$2:$C$1000,A24)</f>
        <v/>
      </c>
      <c r="S24" s="12">
        <f>SUMIFS(Recipes!$J$2:$J$1000,Recipes!$C$2:$C$1000,A24)</f>
        <v/>
      </c>
      <c r="T24" s="13">
        <f>IF(O24&lt;=P24,"REORDER","OK")</f>
        <v/>
      </c>
      <c r="U24" s="11">
        <f>IF(O24&lt;=P24,MAX(N24,ROUNDUP(MAX(Q24-O24,0)/H24,0)),0)</f>
        <v/>
      </c>
      <c r="V24" s="14">
        <f>U24*(I24+J24)</f>
        <v/>
      </c>
      <c r="W24" s="14">
        <f>MAX(O24,0)*K24</f>
        <v/>
      </c>
      <c r="X24" s="6" t="inlineStr"/>
    </row>
    <row r="25">
      <c r="A25" s="6" t="inlineStr">
        <is>
          <t>ING-024</t>
        </is>
      </c>
      <c r="B25" s="6" t="inlineStr">
        <is>
          <t>Agave Syrup</t>
        </is>
      </c>
      <c r="C25" s="6" t="inlineStr">
        <is>
          <t>Sweetener</t>
        </is>
      </c>
      <c r="D25" s="6" t="inlineStr">
        <is>
          <t>fl oz</t>
        </is>
      </c>
      <c r="E25" s="6" t="inlineStr">
        <is>
          <t>Sysco</t>
        </is>
      </c>
      <c r="F25" s="6" t="inlineStr">
        <is>
          <t>SKU-1168</t>
        </is>
      </c>
      <c r="G25" s="6" t="inlineStr">
        <is>
          <t>46 fl oz bottle</t>
        </is>
      </c>
      <c r="H25" s="7" t="n">
        <v>46</v>
      </c>
      <c r="I25" s="8" t="n">
        <v>11</v>
      </c>
      <c r="J25" s="8" t="n">
        <v>1</v>
      </c>
      <c r="K25" s="9">
        <f>IFERROR((I25+J25)/H25,0)</f>
        <v/>
      </c>
      <c r="L25" s="10" t="n">
        <v>4</v>
      </c>
      <c r="M25" s="10" t="n">
        <v>730</v>
      </c>
      <c r="N25" s="10" t="n">
        <v>2</v>
      </c>
      <c r="O25" s="7" t="n">
        <v>280</v>
      </c>
      <c r="P25" s="7" t="n">
        <v>120</v>
      </c>
      <c r="Q25" s="7" t="n">
        <v>552</v>
      </c>
      <c r="R25" s="11">
        <f>COUNTIF(Recipes!$C$2:$C$1000,A25)</f>
        <v/>
      </c>
      <c r="S25" s="12">
        <f>SUMIFS(Recipes!$J$2:$J$1000,Recipes!$C$2:$C$1000,A25)</f>
        <v/>
      </c>
      <c r="T25" s="13">
        <f>IF(O25&lt;=P25,"REORDER","OK")</f>
        <v/>
      </c>
      <c r="U25" s="11">
        <f>IF(O25&lt;=P25,MAX(N25,ROUNDUP(MAX(Q25-O25,0)/H25,0)),0)</f>
        <v/>
      </c>
      <c r="V25" s="14">
        <f>U25*(I25+J25)</f>
        <v/>
      </c>
      <c r="W25" s="14">
        <f>MAX(O25,0)*K25</f>
        <v/>
      </c>
      <c r="X25" s="6" t="inlineStr"/>
    </row>
    <row r="26">
      <c r="A26" s="6" t="inlineStr">
        <is>
          <t>ING-025</t>
        </is>
      </c>
      <c r="B26" s="6" t="inlineStr">
        <is>
          <t>Whey Protein</t>
        </is>
      </c>
      <c r="C26" s="6" t="inlineStr">
        <is>
          <t>Boosts</t>
        </is>
      </c>
      <c r="D26" s="6" t="inlineStr">
        <is>
          <t>scoop</t>
        </is>
      </c>
      <c r="E26" s="6" t="inlineStr">
        <is>
          <t>NutriSource</t>
        </is>
      </c>
      <c r="F26" s="6" t="inlineStr">
        <is>
          <t>SKU-1175</t>
        </is>
      </c>
      <c r="G26" s="6" t="inlineStr">
        <is>
          <t>5 lb tub (~70 scoops)</t>
        </is>
      </c>
      <c r="H26" s="7" t="n">
        <v>70</v>
      </c>
      <c r="I26" s="8" t="n">
        <v>54</v>
      </c>
      <c r="J26" s="8" t="n">
        <v>6</v>
      </c>
      <c r="K26" s="9">
        <f>IFERROR((I26+J26)/H26,0)</f>
        <v/>
      </c>
      <c r="L26" s="10" t="n">
        <v>7</v>
      </c>
      <c r="M26" s="10" t="n">
        <v>540</v>
      </c>
      <c r="N26" s="10" t="n">
        <v>1</v>
      </c>
      <c r="O26" s="7" t="n">
        <v>320</v>
      </c>
      <c r="P26" s="7" t="n">
        <v>160</v>
      </c>
      <c r="Q26" s="7" t="n">
        <v>560</v>
      </c>
      <c r="R26" s="11">
        <f>COUNTIF(Recipes!$C$2:$C$1000,A26)</f>
        <v/>
      </c>
      <c r="S26" s="12">
        <f>SUMIFS(Recipes!$J$2:$J$1000,Recipes!$C$2:$C$1000,A26)</f>
        <v/>
      </c>
      <c r="T26" s="13">
        <f>IF(O26&lt;=P26,"REORDER","OK")</f>
        <v/>
      </c>
      <c r="U26" s="11">
        <f>IF(O26&lt;=P26,MAX(N26,ROUNDUP(MAX(Q26-O26,0)/H26,0)),0)</f>
        <v/>
      </c>
      <c r="V26" s="14">
        <f>U26*(I26+J26)</f>
        <v/>
      </c>
      <c r="W26" s="14">
        <f>MAX(O26,0)*K26</f>
        <v/>
      </c>
      <c r="X26" s="6" t="inlineStr"/>
    </row>
    <row r="27">
      <c r="A27" s="6" t="inlineStr">
        <is>
          <t>ING-026</t>
        </is>
      </c>
      <c r="B27" s="6" t="inlineStr">
        <is>
          <t>Chia Seeds</t>
        </is>
      </c>
      <c r="C27" s="6" t="inlineStr">
        <is>
          <t>Boosts</t>
        </is>
      </c>
      <c r="D27" s="6" t="inlineStr">
        <is>
          <t>tbsp</t>
        </is>
      </c>
      <c r="E27" s="6" t="inlineStr">
        <is>
          <t>NutriSource</t>
        </is>
      </c>
      <c r="F27" s="6" t="inlineStr">
        <is>
          <t>SKU-1182</t>
        </is>
      </c>
      <c r="G27" s="6" t="inlineStr">
        <is>
          <t>2 lb bag (~85 tbsp)</t>
        </is>
      </c>
      <c r="H27" s="7" t="n">
        <v>85</v>
      </c>
      <c r="I27" s="8" t="n">
        <v>13</v>
      </c>
      <c r="J27" s="8" t="n">
        <v>2</v>
      </c>
      <c r="K27" s="9">
        <f>IFERROR((I27+J27)/H27,0)</f>
        <v/>
      </c>
      <c r="L27" s="10" t="n">
        <v>7</v>
      </c>
      <c r="M27" s="10" t="n">
        <v>540</v>
      </c>
      <c r="N27" s="10" t="n">
        <v>1</v>
      </c>
      <c r="O27" s="7" t="n">
        <v>240</v>
      </c>
      <c r="P27" s="7" t="n">
        <v>120</v>
      </c>
      <c r="Q27" s="7" t="n">
        <v>680</v>
      </c>
      <c r="R27" s="11">
        <f>COUNTIF(Recipes!$C$2:$C$1000,A27)</f>
        <v/>
      </c>
      <c r="S27" s="12">
        <f>SUMIFS(Recipes!$J$2:$J$1000,Recipes!$C$2:$C$1000,A27)</f>
        <v/>
      </c>
      <c r="T27" s="13">
        <f>IF(O27&lt;=P27,"REORDER","OK")</f>
        <v/>
      </c>
      <c r="U27" s="11">
        <f>IF(O27&lt;=P27,MAX(N27,ROUNDUP(MAX(Q27-O27,0)/H27,0)),0)</f>
        <v/>
      </c>
      <c r="V27" s="14">
        <f>U27*(I27+J27)</f>
        <v/>
      </c>
      <c r="W27" s="14">
        <f>MAX(O27,0)*K27</f>
        <v/>
      </c>
      <c r="X27" s="6" t="inlineStr"/>
    </row>
    <row r="28">
      <c r="A28" s="6" t="inlineStr">
        <is>
          <t>ING-027</t>
        </is>
      </c>
      <c r="B28" s="6" t="inlineStr">
        <is>
          <t>Peanut Butter</t>
        </is>
      </c>
      <c r="C28" s="6" t="inlineStr">
        <is>
          <t>Boosts</t>
        </is>
      </c>
      <c r="D28" s="6" t="inlineStr">
        <is>
          <t>tbsp</t>
        </is>
      </c>
      <c r="E28" s="6" t="inlineStr">
        <is>
          <t>Sysco</t>
        </is>
      </c>
      <c r="F28" s="6" t="inlineStr">
        <is>
          <t>SKU-1189</t>
        </is>
      </c>
      <c r="G28" s="6" t="inlineStr">
        <is>
          <t>5 lb tub (~150 tbsp)</t>
        </is>
      </c>
      <c r="H28" s="7" t="n">
        <v>150</v>
      </c>
      <c r="I28" s="8" t="n">
        <v>17</v>
      </c>
      <c r="J28" s="8" t="n">
        <v>2</v>
      </c>
      <c r="K28" s="9">
        <f>IFERROR((I28+J28)/H28,0)</f>
        <v/>
      </c>
      <c r="L28" s="10" t="n">
        <v>4</v>
      </c>
      <c r="M28" s="10" t="n">
        <v>180</v>
      </c>
      <c r="N28" s="10" t="n">
        <v>1</v>
      </c>
      <c r="O28" s="7" t="n">
        <v>480</v>
      </c>
      <c r="P28" s="7" t="n">
        <v>200</v>
      </c>
      <c r="Q28" s="7" t="n">
        <v>1200</v>
      </c>
      <c r="R28" s="11">
        <f>COUNTIF(Recipes!$C$2:$C$1000,A28)</f>
        <v/>
      </c>
      <c r="S28" s="12">
        <f>SUMIFS(Recipes!$J$2:$J$1000,Recipes!$C$2:$C$1000,A28)</f>
        <v/>
      </c>
      <c r="T28" s="13">
        <f>IF(O28&lt;=P28,"REORDER","OK")</f>
        <v/>
      </c>
      <c r="U28" s="11">
        <f>IF(O28&lt;=P28,MAX(N28,ROUNDUP(MAX(Q28-O28,0)/H28,0)),0)</f>
        <v/>
      </c>
      <c r="V28" s="14">
        <f>U28*(I28+J28)</f>
        <v/>
      </c>
      <c r="W28" s="14">
        <f>MAX(O28,0)*K28</f>
        <v/>
      </c>
      <c r="X28" s="6" t="inlineStr"/>
    </row>
    <row r="29">
      <c r="A29" s="6" t="inlineStr">
        <is>
          <t>ING-028</t>
        </is>
      </c>
      <c r="B29" s="6" t="inlineStr">
        <is>
          <t>Acai Packs (frozen)</t>
        </is>
      </c>
      <c r="C29" s="6" t="inlineStr">
        <is>
          <t>Fruit</t>
        </is>
      </c>
      <c r="D29" s="6" t="inlineStr">
        <is>
          <t>each</t>
        </is>
      </c>
      <c r="E29" s="6" t="inlineStr">
        <is>
          <t>Island Imports</t>
        </is>
      </c>
      <c r="F29" s="6" t="inlineStr">
        <is>
          <t>SKU-1196</t>
        </is>
      </c>
      <c r="G29" s="6" t="inlineStr">
        <is>
          <t>Case of 48 x 100 g</t>
        </is>
      </c>
      <c r="H29" s="7" t="n">
        <v>48</v>
      </c>
      <c r="I29" s="8" t="n">
        <v>62</v>
      </c>
      <c r="J29" s="8" t="n">
        <v>9</v>
      </c>
      <c r="K29" s="9">
        <f>IFERROR((I29+J29)/H29,0)</f>
        <v/>
      </c>
      <c r="L29" s="10" t="n">
        <v>10</v>
      </c>
      <c r="M29" s="10" t="n">
        <v>540</v>
      </c>
      <c r="N29" s="10" t="n">
        <v>1</v>
      </c>
      <c r="O29" s="7" t="n">
        <v>88</v>
      </c>
      <c r="P29" s="7" t="n">
        <v>120</v>
      </c>
      <c r="Q29" s="7" t="n">
        <v>480</v>
      </c>
      <c r="R29" s="11">
        <f>COUNTIF(Recipes!$C$2:$C$1000,A29)</f>
        <v/>
      </c>
      <c r="S29" s="12">
        <f>SUMIFS(Recipes!$J$2:$J$1000,Recipes!$C$2:$C$1000,A29)</f>
        <v/>
      </c>
      <c r="T29" s="13">
        <f>IF(O29&lt;=P29,"REORDER","OK")</f>
        <v/>
      </c>
      <c r="U29" s="11">
        <f>IF(O29&lt;=P29,MAX(N29,ROUNDUP(MAX(Q29-O29,0)/H29,0)),0)</f>
        <v/>
      </c>
      <c r="V29" s="14">
        <f>U29*(I29+J29)</f>
        <v/>
      </c>
      <c r="W29" s="14">
        <f>MAX(O29,0)*K29</f>
        <v/>
      </c>
      <c r="X29" s="6" t="inlineStr"/>
    </row>
    <row r="30">
      <c r="A30" s="6" t="inlineStr">
        <is>
          <t>ING-029</t>
        </is>
      </c>
      <c r="B30" s="6" t="inlineStr">
        <is>
          <t>Ice</t>
        </is>
      </c>
      <c r="C30" s="6" t="inlineStr">
        <is>
          <t>Base</t>
        </is>
      </c>
      <c r="D30" s="6" t="inlineStr">
        <is>
          <t>oz</t>
        </is>
      </c>
      <c r="E30" s="6" t="inlineStr">
        <is>
          <t>In-house</t>
        </is>
      </c>
      <c r="F30" s="6" t="inlineStr">
        <is>
          <t>SKU-1203</t>
        </is>
      </c>
      <c r="G30" s="6" t="inlineStr">
        <is>
          <t>Ice machine (no cost)</t>
        </is>
      </c>
      <c r="H30" s="7" t="n">
        <v>1000</v>
      </c>
      <c r="I30" s="8" t="n">
        <v>0</v>
      </c>
      <c r="J30" s="8" t="n">
        <v>0</v>
      </c>
      <c r="K30" s="9">
        <f>IFERROR((I30+J30)/H30,0)</f>
        <v/>
      </c>
      <c r="L30" s="10" t="n">
        <v>0</v>
      </c>
      <c r="M30" s="10" t="n">
        <v>0</v>
      </c>
      <c r="N30" s="10" t="n">
        <v>1</v>
      </c>
      <c r="O30" s="7" t="n">
        <v>5000</v>
      </c>
      <c r="P30" s="7" t="n">
        <v>0</v>
      </c>
      <c r="Q30" s="7" t="n">
        <v>5000</v>
      </c>
      <c r="R30" s="11">
        <f>COUNTIF(Recipes!$C$2:$C$1000,A30)</f>
        <v/>
      </c>
      <c r="S30" s="12">
        <f>SUMIFS(Recipes!$J$2:$J$1000,Recipes!$C$2:$C$1000,A30)</f>
        <v/>
      </c>
      <c r="T30" s="13">
        <f>IF(O30&lt;=P30,"REORDER","OK")</f>
        <v/>
      </c>
      <c r="U30" s="11">
        <f>IF(O30&lt;=P30,MAX(N30,ROUNDUP(MAX(Q30-O30,0)/H30,0)),0)</f>
        <v/>
      </c>
      <c r="V30" s="14">
        <f>U30*(I30+J30)</f>
        <v/>
      </c>
      <c r="W30" s="14">
        <f>MAX(O30,0)*K30</f>
        <v/>
      </c>
      <c r="X30" s="6" t="inlineStr"/>
    </row>
    <row r="31">
      <c r="A31" s="6" t="inlineStr">
        <is>
          <t>ING-030</t>
        </is>
      </c>
      <c r="B31" s="6" t="inlineStr">
        <is>
          <t>16 oz Cup + Lid + Straw</t>
        </is>
      </c>
      <c r="C31" s="6" t="inlineStr">
        <is>
          <t>Packaging</t>
        </is>
      </c>
      <c r="D31" s="6" t="inlineStr">
        <is>
          <t>each</t>
        </is>
      </c>
      <c r="E31" s="6" t="inlineStr">
        <is>
          <t>EcoServe Packaging</t>
        </is>
      </c>
      <c r="F31" s="6" t="inlineStr">
        <is>
          <t>SKU-1210</t>
        </is>
      </c>
      <c r="G31" s="6" t="inlineStr">
        <is>
          <t>Case of 500</t>
        </is>
      </c>
      <c r="H31" s="7" t="n">
        <v>500</v>
      </c>
      <c r="I31" s="8" t="n">
        <v>85</v>
      </c>
      <c r="J31" s="8" t="n">
        <v>12</v>
      </c>
      <c r="K31" s="9">
        <f>IFERROR((I31+J31)/H31,0)</f>
        <v/>
      </c>
      <c r="L31" s="10" t="n">
        <v>6</v>
      </c>
      <c r="M31" s="10" t="n">
        <v>0</v>
      </c>
      <c r="N31" s="10" t="n">
        <v>1</v>
      </c>
      <c r="O31" s="7" t="n">
        <v>1520</v>
      </c>
      <c r="P31" s="7" t="n">
        <v>1000</v>
      </c>
      <c r="Q31" s="7" t="n">
        <v>4000</v>
      </c>
      <c r="R31" s="11">
        <f>COUNTIF(Recipes!$C$2:$C$1000,A31)</f>
        <v/>
      </c>
      <c r="S31" s="12">
        <f>SUMIFS(Recipes!$J$2:$J$1000,Recipes!$C$2:$C$1000,A31)</f>
        <v/>
      </c>
      <c r="T31" s="13">
        <f>IF(O31&lt;=P31,"REORDER","OK")</f>
        <v/>
      </c>
      <c r="U31" s="11">
        <f>IF(O31&lt;=P31,MAX(N31,ROUNDUP(MAX(Q31-O31,0)/H31,0)),0)</f>
        <v/>
      </c>
      <c r="V31" s="14">
        <f>U31*(I31+J31)</f>
        <v/>
      </c>
      <c r="W31" s="14">
        <f>MAX(O31,0)*K31</f>
        <v/>
      </c>
      <c r="X31" s="6" t="inlineStr"/>
    </row>
    <row r="32">
      <c r="A32" s="6" t="inlineStr">
        <is>
          <t>ING-031</t>
        </is>
      </c>
      <c r="B32" s="6" t="inlineStr">
        <is>
          <t>24 oz Cup + Lid + Straw</t>
        </is>
      </c>
      <c r="C32" s="6" t="inlineStr">
        <is>
          <t>Packaging</t>
        </is>
      </c>
      <c r="D32" s="6" t="inlineStr">
        <is>
          <t>each</t>
        </is>
      </c>
      <c r="E32" s="6" t="inlineStr">
        <is>
          <t>EcoServe Packaging</t>
        </is>
      </c>
      <c r="F32" s="6" t="inlineStr">
        <is>
          <t>SKU-1217</t>
        </is>
      </c>
      <c r="G32" s="6" t="inlineStr">
        <is>
          <t>Case of 400</t>
        </is>
      </c>
      <c r="H32" s="7" t="n">
        <v>400</v>
      </c>
      <c r="I32" s="8" t="n">
        <v>92</v>
      </c>
      <c r="J32" s="8" t="n">
        <v>12</v>
      </c>
      <c r="K32" s="9">
        <f>IFERROR((I32+J32)/H32,0)</f>
        <v/>
      </c>
      <c r="L32" s="10" t="n">
        <v>6</v>
      </c>
      <c r="M32" s="10" t="n">
        <v>0</v>
      </c>
      <c r="N32" s="10" t="n">
        <v>1</v>
      </c>
      <c r="O32" s="7" t="n">
        <v>560</v>
      </c>
      <c r="P32" s="7" t="n">
        <v>800</v>
      </c>
      <c r="Q32" s="7" t="n">
        <v>3200</v>
      </c>
      <c r="R32" s="11">
        <f>COUNTIF(Recipes!$C$2:$C$1000,A32)</f>
        <v/>
      </c>
      <c r="S32" s="12">
        <f>SUMIFS(Recipes!$J$2:$J$1000,Recipes!$C$2:$C$1000,A32)</f>
        <v/>
      </c>
      <c r="T32" s="13">
        <f>IF(O32&lt;=P32,"REORDER","OK")</f>
        <v/>
      </c>
      <c r="U32" s="11">
        <f>IF(O32&lt;=P32,MAX(N32,ROUNDUP(MAX(Q32-O32,0)/H32,0)),0)</f>
        <v/>
      </c>
      <c r="V32" s="14">
        <f>U32*(I32+J32)</f>
        <v/>
      </c>
      <c r="W32" s="14">
        <f>MAX(O32,0)*K32</f>
        <v/>
      </c>
      <c r="X32" s="6" t="inlineStr"/>
    </row>
  </sheetData>
  <autoFilter ref="A1:X32"/>
  <conditionalFormatting sqref="A2:X200">
    <cfRule type="expression" priority="1" dxfId="0">
      <formula>$T2="REORDER"</formula>
    </cfRule>
  </conditionalFormatting>
  <dataValidations count="1">
    <dataValidation sqref="D2:D200" showDropDown="0" showInputMessage="0" showErrorMessage="0" allowBlank="1" type="list">
      <formula1>"oz,fl oz,g,kg,lb,ml,l,each,scoop,tbsp,tsp,cup"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9" customWidth="1" min="4" max="4"/>
    <col width="10" customWidth="1" min="5" max="5"/>
    <col width="44" customWidth="1" min="6" max="6"/>
    <col width="18" customWidth="1" min="7" max="7"/>
    <col width="8" customWidth="1" min="8" max="8"/>
    <col width="10" customWidth="1" min="9" max="9"/>
    <col width="12" customWidth="1" min="10" max="10"/>
    <col width="12" customWidth="1" min="11" max="11"/>
    <col width="9" customWidth="1" min="12" max="12"/>
    <col width="9" customWidth="1" min="13" max="13"/>
    <col width="12" customWidth="1" min="14" max="14"/>
  </cols>
  <sheetData>
    <row r="1" ht="42" customHeight="1">
      <c r="A1" s="4" t="inlineStr">
        <is>
          <t>Item 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Size</t>
        </is>
      </c>
      <c r="E1" s="4" t="inlineStr">
        <is>
          <t>Price ($)</t>
        </is>
      </c>
      <c r="F1" s="4" t="inlineStr">
        <is>
          <t>Description</t>
        </is>
      </c>
      <c r="G1" s="4" t="inlineStr">
        <is>
          <t>Image File</t>
        </is>
      </c>
      <c r="H1" s="4" t="inlineStr">
        <is>
          <t>Active</t>
        </is>
      </c>
      <c r="I1" s="5" t="inlineStr">
        <is>
          <t># Ingredients</t>
        </is>
      </c>
      <c r="J1" s="5" t="inlineStr">
        <is>
          <t>Ingredient Cost ($)</t>
        </is>
      </c>
      <c r="K1" s="5" t="inlineStr">
        <is>
          <t>Gross Margin ($)</t>
        </is>
      </c>
      <c r="L1" s="5" t="inlineStr">
        <is>
          <t>Cost %</t>
        </is>
      </c>
      <c r="M1" s="5" t="inlineStr">
        <is>
          <t>Units Sold</t>
        </is>
      </c>
      <c r="N1" s="5" t="inlineStr">
        <is>
          <t>Revenue ($)</t>
        </is>
      </c>
    </row>
    <row r="2">
      <c r="A2" s="6" t="inlineStr">
        <is>
          <t>MI-001</t>
        </is>
      </c>
      <c r="B2" s="6" t="inlineStr">
        <is>
          <t>Green Machine</t>
        </is>
      </c>
      <c r="C2" s="6" t="inlineStr">
        <is>
          <t>Cold-Pressed Juice</t>
        </is>
      </c>
      <c r="D2" s="6" t="inlineStr">
        <is>
          <t>16 oz</t>
        </is>
      </c>
      <c r="E2" s="8" t="n">
        <v>8.949999999999999</v>
      </c>
      <c r="F2" s="15" t="inlineStr">
        <is>
          <t>Spinach, kale, cucumber, celery, apple and a squeeze of lemon. Our best-selling daily green.</t>
        </is>
      </c>
      <c r="G2" s="6" t="inlineStr"/>
      <c r="H2" s="6" t="inlineStr">
        <is>
          <t>Yes</t>
        </is>
      </c>
      <c r="I2" s="11">
        <f>COUNTIF(Recipes!$A$2:$A$1000,A2)</f>
        <v/>
      </c>
      <c r="J2" s="14">
        <f>SUMIFS(Recipes!$H$2:$H$1000,Recipes!$A$2:$A$1000,A2)</f>
        <v/>
      </c>
      <c r="K2" s="14">
        <f>E2-J2</f>
        <v/>
      </c>
      <c r="L2" s="16">
        <f>IFERROR(J2/E2,0)</f>
        <v/>
      </c>
      <c r="M2" s="17">
        <f>SUMIFS('Sales Log'!$C$2:$C$2000,'Sales Log'!$B$2:$B$2000,A2)</f>
        <v/>
      </c>
      <c r="N2" s="14">
        <f>M2*E2</f>
        <v/>
      </c>
    </row>
    <row r="3">
      <c r="A3" s="6" t="inlineStr">
        <is>
          <t>MI-002</t>
        </is>
      </c>
      <c r="B3" s="6" t="inlineStr">
        <is>
          <t>Sunrise Carrot</t>
        </is>
      </c>
      <c r="C3" s="6" t="inlineStr">
        <is>
          <t>Cold-Pressed Juice</t>
        </is>
      </c>
      <c r="D3" s="6" t="inlineStr">
        <is>
          <t>16 oz</t>
        </is>
      </c>
      <c r="E3" s="8" t="n">
        <v>7.95</v>
      </c>
      <c r="F3" s="15" t="inlineStr">
        <is>
          <t>Carrot, orange, ginger and turmeric. Bright, zesty and anti-inflammatory.</t>
        </is>
      </c>
      <c r="G3" s="6" t="inlineStr"/>
      <c r="H3" s="6" t="inlineStr">
        <is>
          <t>Yes</t>
        </is>
      </c>
      <c r="I3" s="11">
        <f>COUNTIF(Recipes!$A$2:$A$1000,A3)</f>
        <v/>
      </c>
      <c r="J3" s="14">
        <f>SUMIFS(Recipes!$H$2:$H$1000,Recipes!$A$2:$A$1000,A3)</f>
        <v/>
      </c>
      <c r="K3" s="14">
        <f>E3-J3</f>
        <v/>
      </c>
      <c r="L3" s="16">
        <f>IFERROR(J3/E3,0)</f>
        <v/>
      </c>
      <c r="M3" s="17">
        <f>SUMIFS('Sales Log'!$C$2:$C$2000,'Sales Log'!$B$2:$B$2000,A3)</f>
        <v/>
      </c>
      <c r="N3" s="14">
        <f>M3*E3</f>
        <v/>
      </c>
    </row>
    <row r="4">
      <c r="A4" s="6" t="inlineStr">
        <is>
          <t>MI-003</t>
        </is>
      </c>
      <c r="B4" s="6" t="inlineStr">
        <is>
          <t>Beet Boost</t>
        </is>
      </c>
      <c r="C4" s="6" t="inlineStr">
        <is>
          <t>Cold-Pressed Juice</t>
        </is>
      </c>
      <c r="D4" s="6" t="inlineStr">
        <is>
          <t>16 oz</t>
        </is>
      </c>
      <c r="E4" s="8" t="n">
        <v>8.5</v>
      </c>
      <c r="F4" s="15" t="inlineStr">
        <is>
          <t>Beet, carrot, apple, lemon and ginger. Earthy, sweet and energizing.</t>
        </is>
      </c>
      <c r="G4" s="6" t="inlineStr"/>
      <c r="H4" s="6" t="inlineStr">
        <is>
          <t>Yes</t>
        </is>
      </c>
      <c r="I4" s="11">
        <f>COUNTIF(Recipes!$A$2:$A$1000,A4)</f>
        <v/>
      </c>
      <c r="J4" s="14">
        <f>SUMIFS(Recipes!$H$2:$H$1000,Recipes!$A$2:$A$1000,A4)</f>
        <v/>
      </c>
      <c r="K4" s="14">
        <f>E4-J4</f>
        <v/>
      </c>
      <c r="L4" s="16">
        <f>IFERROR(J4/E4,0)</f>
        <v/>
      </c>
      <c r="M4" s="17">
        <f>SUMIFS('Sales Log'!$C$2:$C$2000,'Sales Log'!$B$2:$B$2000,A4)</f>
        <v/>
      </c>
      <c r="N4" s="14">
        <f>M4*E4</f>
        <v/>
      </c>
    </row>
    <row r="5">
      <c r="A5" s="6" t="inlineStr">
        <is>
          <t>MI-004</t>
        </is>
      </c>
      <c r="B5" s="6" t="inlineStr">
        <is>
          <t>Ginger Shot</t>
        </is>
      </c>
      <c r="C5" s="6" t="inlineStr">
        <is>
          <t>Wellness Shot</t>
        </is>
      </c>
      <c r="D5" s="6" t="inlineStr">
        <is>
          <t>2 oz</t>
        </is>
      </c>
      <c r="E5" s="8" t="n">
        <v>3.5</v>
      </c>
      <c r="F5" s="15" t="inlineStr">
        <is>
          <t>A fiery 2 oz shot of ginger, lemon and a touch of honey.</t>
        </is>
      </c>
      <c r="G5" s="6" t="inlineStr"/>
      <c r="H5" s="6" t="inlineStr">
        <is>
          <t>Yes</t>
        </is>
      </c>
      <c r="I5" s="11">
        <f>COUNTIF(Recipes!$A$2:$A$1000,A5)</f>
        <v/>
      </c>
      <c r="J5" s="14">
        <f>SUMIFS(Recipes!$H$2:$H$1000,Recipes!$A$2:$A$1000,A5)</f>
        <v/>
      </c>
      <c r="K5" s="14">
        <f>E5-J5</f>
        <v/>
      </c>
      <c r="L5" s="16">
        <f>IFERROR(J5/E5,0)</f>
        <v/>
      </c>
      <c r="M5" s="17">
        <f>SUMIFS('Sales Log'!$C$2:$C$2000,'Sales Log'!$B$2:$B$2000,A5)</f>
        <v/>
      </c>
      <c r="N5" s="14">
        <f>M5*E5</f>
        <v/>
      </c>
    </row>
    <row r="6">
      <c r="A6" s="6" t="inlineStr">
        <is>
          <t>MI-005</t>
        </is>
      </c>
      <c r="B6" s="6" t="inlineStr">
        <is>
          <t>Peach Paradise</t>
        </is>
      </c>
      <c r="C6" s="6" t="inlineStr">
        <is>
          <t>Smoothie</t>
        </is>
      </c>
      <c r="D6" s="6" t="inlineStr">
        <is>
          <t>24 oz</t>
        </is>
      </c>
      <c r="E6" s="8" t="n">
        <v>8.949999999999999</v>
      </c>
      <c r="F6" s="15" t="inlineStr">
        <is>
          <t>Peach, mango, banana, Greek yogurt and apple juice blended creamy.</t>
        </is>
      </c>
      <c r="G6" s="6" t="inlineStr"/>
      <c r="H6" s="6" t="inlineStr">
        <is>
          <t>Yes</t>
        </is>
      </c>
      <c r="I6" s="11">
        <f>COUNTIF(Recipes!$A$2:$A$1000,A6)</f>
        <v/>
      </c>
      <c r="J6" s="14">
        <f>SUMIFS(Recipes!$H$2:$H$1000,Recipes!$A$2:$A$1000,A6)</f>
        <v/>
      </c>
      <c r="K6" s="14">
        <f>E6-J6</f>
        <v/>
      </c>
      <c r="L6" s="16">
        <f>IFERROR(J6/E6,0)</f>
        <v/>
      </c>
      <c r="M6" s="17">
        <f>SUMIFS('Sales Log'!$C$2:$C$2000,'Sales Log'!$B$2:$B$2000,A6)</f>
        <v/>
      </c>
      <c r="N6" s="14">
        <f>M6*E6</f>
        <v/>
      </c>
    </row>
    <row r="7">
      <c r="A7" s="6" t="inlineStr">
        <is>
          <t>MI-006</t>
        </is>
      </c>
      <c r="B7" s="6" t="inlineStr">
        <is>
          <t>Strawberry Banana</t>
        </is>
      </c>
      <c r="C7" s="6" t="inlineStr">
        <is>
          <t>Smoothie</t>
        </is>
      </c>
      <c r="D7" s="6" t="inlineStr">
        <is>
          <t>24 oz</t>
        </is>
      </c>
      <c r="E7" s="8" t="n">
        <v>7.95</v>
      </c>
      <c r="F7" s="15" t="inlineStr">
        <is>
          <t>The classic: strawberries, banana, Greek yogurt, apple juice and honey.</t>
        </is>
      </c>
      <c r="G7" s="6" t="inlineStr"/>
      <c r="H7" s="6" t="inlineStr">
        <is>
          <t>Yes</t>
        </is>
      </c>
      <c r="I7" s="11">
        <f>COUNTIF(Recipes!$A$2:$A$1000,A7)</f>
        <v/>
      </c>
      <c r="J7" s="14">
        <f>SUMIFS(Recipes!$H$2:$H$1000,Recipes!$A$2:$A$1000,A7)</f>
        <v/>
      </c>
      <c r="K7" s="14">
        <f>E7-J7</f>
        <v/>
      </c>
      <c r="L7" s="16">
        <f>IFERROR(J7/E7,0)</f>
        <v/>
      </c>
      <c r="M7" s="17">
        <f>SUMIFS('Sales Log'!$C$2:$C$2000,'Sales Log'!$B$2:$B$2000,A7)</f>
        <v/>
      </c>
      <c r="N7" s="14">
        <f>M7*E7</f>
        <v/>
      </c>
    </row>
    <row r="8">
      <c r="A8" s="6" t="inlineStr">
        <is>
          <t>MI-007</t>
        </is>
      </c>
      <c r="B8" s="6" t="inlineStr">
        <is>
          <t>Tropical Escape</t>
        </is>
      </c>
      <c r="C8" s="6" t="inlineStr">
        <is>
          <t>Smoothie</t>
        </is>
      </c>
      <c r="D8" s="6" t="inlineStr">
        <is>
          <t>24 oz</t>
        </is>
      </c>
      <c r="E8" s="8" t="n">
        <v>8.5</v>
      </c>
      <c r="F8" s="15" t="inlineStr">
        <is>
          <t>Pineapple, mango, banana and coconut water. Dairy-free vacation in a cup.</t>
        </is>
      </c>
      <c r="G8" s="6" t="inlineStr"/>
      <c r="H8" s="6" t="inlineStr">
        <is>
          <t>Yes</t>
        </is>
      </c>
      <c r="I8" s="11">
        <f>COUNTIF(Recipes!$A$2:$A$1000,A8)</f>
        <v/>
      </c>
      <c r="J8" s="14">
        <f>SUMIFS(Recipes!$H$2:$H$1000,Recipes!$A$2:$A$1000,A8)</f>
        <v/>
      </c>
      <c r="K8" s="14">
        <f>E8-J8</f>
        <v/>
      </c>
      <c r="L8" s="16">
        <f>IFERROR(J8/E8,0)</f>
        <v/>
      </c>
      <c r="M8" s="17">
        <f>SUMIFS('Sales Log'!$C$2:$C$2000,'Sales Log'!$B$2:$B$2000,A8)</f>
        <v/>
      </c>
      <c r="N8" s="14">
        <f>M8*E8</f>
        <v/>
      </c>
    </row>
    <row r="9">
      <c r="A9" s="6" t="inlineStr">
        <is>
          <t>MI-008</t>
        </is>
      </c>
      <c r="B9" s="6" t="inlineStr">
        <is>
          <t>Berry Blast</t>
        </is>
      </c>
      <c r="C9" s="6" t="inlineStr">
        <is>
          <t>Smoothie</t>
        </is>
      </c>
      <c r="D9" s="6" t="inlineStr">
        <is>
          <t>24 oz</t>
        </is>
      </c>
      <c r="E9" s="8" t="n">
        <v>8.5</v>
      </c>
      <c r="F9" s="15" t="inlineStr">
        <is>
          <t>Blueberries, strawberries, banana, almond milk and chia seeds.</t>
        </is>
      </c>
      <c r="G9" s="6" t="inlineStr"/>
      <c r="H9" s="6" t="inlineStr">
        <is>
          <t>Yes</t>
        </is>
      </c>
      <c r="I9" s="11">
        <f>COUNTIF(Recipes!$A$2:$A$1000,A9)</f>
        <v/>
      </c>
      <c r="J9" s="14">
        <f>SUMIFS(Recipes!$H$2:$H$1000,Recipes!$A$2:$A$1000,A9)</f>
        <v/>
      </c>
      <c r="K9" s="14">
        <f>E9-J9</f>
        <v/>
      </c>
      <c r="L9" s="16">
        <f>IFERROR(J9/E9,0)</f>
        <v/>
      </c>
      <c r="M9" s="17">
        <f>SUMIFS('Sales Log'!$C$2:$C$2000,'Sales Log'!$B$2:$B$2000,A9)</f>
        <v/>
      </c>
      <c r="N9" s="14">
        <f>M9*E9</f>
        <v/>
      </c>
    </row>
    <row r="10">
      <c r="A10" s="6" t="inlineStr">
        <is>
          <t>MI-009</t>
        </is>
      </c>
      <c r="B10" s="6" t="inlineStr">
        <is>
          <t>PB Power</t>
        </is>
      </c>
      <c r="C10" s="6" t="inlineStr">
        <is>
          <t>Protein Smoothie</t>
        </is>
      </c>
      <c r="D10" s="6" t="inlineStr">
        <is>
          <t>24 oz</t>
        </is>
      </c>
      <c r="E10" s="8" t="n">
        <v>9.949999999999999</v>
      </c>
      <c r="F10" s="15" t="inlineStr">
        <is>
          <t>Peanut butter, banana, whey protein and almond milk. 30 g of protein.</t>
        </is>
      </c>
      <c r="G10" s="6" t="inlineStr"/>
      <c r="H10" s="6" t="inlineStr">
        <is>
          <t>Yes</t>
        </is>
      </c>
      <c r="I10" s="11">
        <f>COUNTIF(Recipes!$A$2:$A$1000,A10)</f>
        <v/>
      </c>
      <c r="J10" s="14">
        <f>SUMIFS(Recipes!$H$2:$H$1000,Recipes!$A$2:$A$1000,A10)</f>
        <v/>
      </c>
      <c r="K10" s="14">
        <f>E10-J10</f>
        <v/>
      </c>
      <c r="L10" s="16">
        <f>IFERROR(J10/E10,0)</f>
        <v/>
      </c>
      <c r="M10" s="17">
        <f>SUMIFS('Sales Log'!$C$2:$C$2000,'Sales Log'!$B$2:$B$2000,A10)</f>
        <v/>
      </c>
      <c r="N10" s="14">
        <f>M10*E10</f>
        <v/>
      </c>
    </row>
    <row r="11">
      <c r="A11" s="6" t="inlineStr">
        <is>
          <t>MI-010</t>
        </is>
      </c>
      <c r="B11" s="6" t="inlineStr">
        <is>
          <t>Green Protein</t>
        </is>
      </c>
      <c r="C11" s="6" t="inlineStr">
        <is>
          <t>Protein Smoothie</t>
        </is>
      </c>
      <c r="D11" s="6" t="inlineStr">
        <is>
          <t>24 oz</t>
        </is>
      </c>
      <c r="E11" s="8" t="n">
        <v>10.5</v>
      </c>
      <c r="F11" s="15" t="inlineStr">
        <is>
          <t>Spinach, banana, mango, whey protein and almond milk.</t>
        </is>
      </c>
      <c r="G11" s="6" t="inlineStr"/>
      <c r="H11" s="6" t="inlineStr">
        <is>
          <t>Yes</t>
        </is>
      </c>
      <c r="I11" s="11">
        <f>COUNTIF(Recipes!$A$2:$A$1000,A11)</f>
        <v/>
      </c>
      <c r="J11" s="14">
        <f>SUMIFS(Recipes!$H$2:$H$1000,Recipes!$A$2:$A$1000,A11)</f>
        <v/>
      </c>
      <c r="K11" s="14">
        <f>E11-J11</f>
        <v/>
      </c>
      <c r="L11" s="16">
        <f>IFERROR(J11/E11,0)</f>
        <v/>
      </c>
      <c r="M11" s="17">
        <f>SUMIFS('Sales Log'!$C$2:$C$2000,'Sales Log'!$B$2:$B$2000,A11)</f>
        <v/>
      </c>
      <c r="N11" s="14">
        <f>M11*E11</f>
        <v/>
      </c>
    </row>
    <row r="12">
      <c r="A12" s="6" t="inlineStr">
        <is>
          <t>MI-011</t>
        </is>
      </c>
      <c r="B12" s="6" t="inlineStr">
        <is>
          <t>Mint Lemonade</t>
        </is>
      </c>
      <c r="C12" s="6" t="inlineStr">
        <is>
          <t>Refresher</t>
        </is>
      </c>
      <c r="D12" s="6" t="inlineStr">
        <is>
          <t>16 oz</t>
        </is>
      </c>
      <c r="E12" s="8" t="n">
        <v>5.5</v>
      </c>
      <c r="F12" s="15" t="inlineStr">
        <is>
          <t>Fresh lemon, mint and agave over ice.</t>
        </is>
      </c>
      <c r="G12" s="6" t="inlineStr"/>
      <c r="H12" s="6" t="inlineStr">
        <is>
          <t>Yes</t>
        </is>
      </c>
      <c r="I12" s="11">
        <f>COUNTIF(Recipes!$A$2:$A$1000,A12)</f>
        <v/>
      </c>
      <c r="J12" s="14">
        <f>SUMIFS(Recipes!$H$2:$H$1000,Recipes!$A$2:$A$1000,A12)</f>
        <v/>
      </c>
      <c r="K12" s="14">
        <f>E12-J12</f>
        <v/>
      </c>
      <c r="L12" s="16">
        <f>IFERROR(J12/E12,0)</f>
        <v/>
      </c>
      <c r="M12" s="17">
        <f>SUMIFS('Sales Log'!$C$2:$C$2000,'Sales Log'!$B$2:$B$2000,A12)</f>
        <v/>
      </c>
      <c r="N12" s="14">
        <f>M12*E12</f>
        <v/>
      </c>
    </row>
    <row r="13">
      <c r="A13" s="6" t="inlineStr">
        <is>
          <t>MI-012</t>
        </is>
      </c>
      <c r="B13" s="6" t="inlineStr">
        <is>
          <t>Acai Energy</t>
        </is>
      </c>
      <c r="C13" s="6" t="inlineStr">
        <is>
          <t>Smoothie</t>
        </is>
      </c>
      <c r="D13" s="6" t="inlineStr">
        <is>
          <t>24 oz</t>
        </is>
      </c>
      <c r="E13" s="8" t="n">
        <v>10.95</v>
      </c>
      <c r="F13" s="15" t="inlineStr">
        <is>
          <t>Acai, blueberries, banana, apple juice and honey.</t>
        </is>
      </c>
      <c r="G13" s="6" t="inlineStr"/>
      <c r="H13" s="6" t="inlineStr">
        <is>
          <t>Yes</t>
        </is>
      </c>
      <c r="I13" s="11">
        <f>COUNTIF(Recipes!$A$2:$A$1000,A13)</f>
        <v/>
      </c>
      <c r="J13" s="14">
        <f>SUMIFS(Recipes!$H$2:$H$1000,Recipes!$A$2:$A$1000,A13)</f>
        <v/>
      </c>
      <c r="K13" s="14">
        <f>E13-J13</f>
        <v/>
      </c>
      <c r="L13" s="16">
        <f>IFERROR(J13/E13,0)</f>
        <v/>
      </c>
      <c r="M13" s="17">
        <f>SUMIFS('Sales Log'!$C$2:$C$2000,'Sales Log'!$B$2:$B$2000,A13)</f>
        <v/>
      </c>
      <c r="N13" s="14">
        <f>M13*E13</f>
        <v/>
      </c>
    </row>
  </sheetData>
  <autoFilter ref="A1:N13"/>
  <conditionalFormatting sqref="L2:L200">
    <cfRule type="cellIs" priority="1" operator="greaterThan" dxfId="0">
      <formula>0.35</formula>
    </cfRule>
  </conditionalFormatting>
  <dataValidations count="1">
    <dataValidation sqref="H2:H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2" customWidth="1" min="4" max="4"/>
    <col width="10" customWidth="1" min="5" max="5"/>
    <col width="8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 ht="42" customHeight="1">
      <c r="A1" s="4" t="inlineStr">
        <is>
          <t>Item ID</t>
        </is>
      </c>
      <c r="B1" s="5" t="inlineStr">
        <is>
          <t>Item Name</t>
        </is>
      </c>
      <c r="C1" s="4" t="inlineStr">
        <is>
          <t>Ingredient ID</t>
        </is>
      </c>
      <c r="D1" s="5" t="inlineStr">
        <is>
          <t>Ingredient Name</t>
        </is>
      </c>
      <c r="E1" s="4" t="inlineStr">
        <is>
          <t>Qty per Item</t>
        </is>
      </c>
      <c r="F1" s="5" t="inlineStr">
        <is>
          <t>Unit</t>
        </is>
      </c>
      <c r="G1" s="5" t="inlineStr">
        <is>
          <t>Unit Cost ($)</t>
        </is>
      </c>
      <c r="H1" s="5" t="inlineStr">
        <is>
          <t>Line Cost ($)</t>
        </is>
      </c>
      <c r="I1" s="5" t="inlineStr">
        <is>
          <t>Item Units Sold</t>
        </is>
      </c>
      <c r="J1" s="5" t="inlineStr">
        <is>
          <t>Ingredient Used</t>
        </is>
      </c>
    </row>
    <row r="2">
      <c r="A2" s="6" t="inlineStr">
        <is>
          <t>MI-001</t>
        </is>
      </c>
      <c r="B2" s="18">
        <f>IFERROR(INDEX('Menu Items'!$B$2:$B$200,MATCH(A2,'Menu Items'!$A$2:$A$200,0)),"")</f>
        <v/>
      </c>
      <c r="C2" s="6" t="inlineStr">
        <is>
          <t>ING-014</t>
        </is>
      </c>
      <c r="D2" s="18">
        <f>IFERROR(INDEX(Ingredients!$B$2:$B$200,MATCH(C2,Ingredients!$A$2:$A$200,0)),"")</f>
        <v/>
      </c>
      <c r="E2" s="7" t="n">
        <v>2</v>
      </c>
      <c r="F2" s="18">
        <f>IFERROR(INDEX(Ingredients!$D$2:$D$200,MATCH(C2,Ingredients!$A$2:$A$200,0)),"")</f>
        <v/>
      </c>
      <c r="G2" s="19">
        <f>IFERROR(INDEX(Ingredients!$K$2:$K$200,MATCH(C2,Ingredients!$A$2:$A$200,0)),0)</f>
        <v/>
      </c>
      <c r="H2" s="14">
        <f>IFERROR(E2*G2,0)</f>
        <v/>
      </c>
      <c r="I2" s="20">
        <f>IFERROR(INDEX('Menu Items'!$M$2:$M$200,MATCH(A2,'Menu Items'!$A$2:$A$200,0)),0)</f>
        <v/>
      </c>
      <c r="J2" s="12">
        <f>IFERROR(E2*I2,0)</f>
        <v/>
      </c>
    </row>
    <row r="3">
      <c r="A3" s="6" t="inlineStr">
        <is>
          <t>MI-001</t>
        </is>
      </c>
      <c r="B3" s="18">
        <f>IFERROR(INDEX('Menu Items'!$B$2:$B$200,MATCH(A3,'Menu Items'!$A$2:$A$200,0)),"")</f>
        <v/>
      </c>
      <c r="C3" s="6" t="inlineStr">
        <is>
          <t>ING-015</t>
        </is>
      </c>
      <c r="D3" s="18">
        <f>IFERROR(INDEX(Ingredients!$B$2:$B$200,MATCH(C3,Ingredients!$A$2:$A$200,0)),"")</f>
        <v/>
      </c>
      <c r="E3" s="7" t="n">
        <v>2</v>
      </c>
      <c r="F3" s="18">
        <f>IFERROR(INDEX(Ingredients!$D$2:$D$200,MATCH(C3,Ingredients!$A$2:$A$200,0)),"")</f>
        <v/>
      </c>
      <c r="G3" s="19">
        <f>IFERROR(INDEX(Ingredients!$K$2:$K$200,MATCH(C3,Ingredients!$A$2:$A$200,0)),0)</f>
        <v/>
      </c>
      <c r="H3" s="14">
        <f>IFERROR(E3*G3,0)</f>
        <v/>
      </c>
      <c r="I3" s="20">
        <f>IFERROR(INDEX('Menu Items'!$M$2:$M$200,MATCH(A3,'Menu Items'!$A$2:$A$200,0)),0)</f>
        <v/>
      </c>
      <c r="J3" s="12">
        <f>IFERROR(E3*I3,0)</f>
        <v/>
      </c>
    </row>
    <row r="4">
      <c r="A4" s="6" t="inlineStr">
        <is>
          <t>MI-001</t>
        </is>
      </c>
      <c r="B4" s="18">
        <f>IFERROR(INDEX('Menu Items'!$B$2:$B$200,MATCH(A4,'Menu Items'!$A$2:$A$200,0)),"")</f>
        <v/>
      </c>
      <c r="C4" s="6" t="inlineStr">
        <is>
          <t>ING-016</t>
        </is>
      </c>
      <c r="D4" s="18">
        <f>IFERROR(INDEX(Ingredients!$B$2:$B$200,MATCH(C4,Ingredients!$A$2:$A$200,0)),"")</f>
        <v/>
      </c>
      <c r="E4" s="7" t="n">
        <v>1</v>
      </c>
      <c r="F4" s="18">
        <f>IFERROR(INDEX(Ingredients!$D$2:$D$200,MATCH(C4,Ingredients!$A$2:$A$200,0)),"")</f>
        <v/>
      </c>
      <c r="G4" s="19">
        <f>IFERROR(INDEX(Ingredients!$K$2:$K$200,MATCH(C4,Ingredients!$A$2:$A$200,0)),0)</f>
        <v/>
      </c>
      <c r="H4" s="14">
        <f>IFERROR(E4*G4,0)</f>
        <v/>
      </c>
      <c r="I4" s="20">
        <f>IFERROR(INDEX('Menu Items'!$M$2:$M$200,MATCH(A4,'Menu Items'!$A$2:$A$200,0)),0)</f>
        <v/>
      </c>
      <c r="J4" s="12">
        <f>IFERROR(E4*I4,0)</f>
        <v/>
      </c>
    </row>
    <row r="5">
      <c r="A5" s="6" t="inlineStr">
        <is>
          <t>MI-001</t>
        </is>
      </c>
      <c r="B5" s="18">
        <f>IFERROR(INDEX('Menu Items'!$B$2:$B$200,MATCH(A5,'Menu Items'!$A$2:$A$200,0)),"")</f>
        <v/>
      </c>
      <c r="C5" s="6" t="inlineStr">
        <is>
          <t>ING-017</t>
        </is>
      </c>
      <c r="D5" s="18">
        <f>IFERROR(INDEX(Ingredients!$B$2:$B$200,MATCH(C5,Ingredients!$A$2:$A$200,0)),"")</f>
        <v/>
      </c>
      <c r="E5" s="7" t="n">
        <v>4</v>
      </c>
      <c r="F5" s="18">
        <f>IFERROR(INDEX(Ingredients!$D$2:$D$200,MATCH(C5,Ingredients!$A$2:$A$200,0)),"")</f>
        <v/>
      </c>
      <c r="G5" s="19">
        <f>IFERROR(INDEX(Ingredients!$K$2:$K$200,MATCH(C5,Ingredients!$A$2:$A$200,0)),0)</f>
        <v/>
      </c>
      <c r="H5" s="14">
        <f>IFERROR(E5*G5,0)</f>
        <v/>
      </c>
      <c r="I5" s="20">
        <f>IFERROR(INDEX('Menu Items'!$M$2:$M$200,MATCH(A5,'Menu Items'!$A$2:$A$200,0)),0)</f>
        <v/>
      </c>
      <c r="J5" s="12">
        <f>IFERROR(E5*I5,0)</f>
        <v/>
      </c>
    </row>
    <row r="6">
      <c r="A6" s="6" t="inlineStr">
        <is>
          <t>MI-001</t>
        </is>
      </c>
      <c r="B6" s="18">
        <f>IFERROR(INDEX('Menu Items'!$B$2:$B$200,MATCH(A6,'Menu Items'!$A$2:$A$200,0)),"")</f>
        <v/>
      </c>
      <c r="C6" s="6" t="inlineStr">
        <is>
          <t>ING-001</t>
        </is>
      </c>
      <c r="D6" s="18">
        <f>IFERROR(INDEX(Ingredients!$B$2:$B$200,MATCH(C6,Ingredients!$A$2:$A$200,0)),"")</f>
        <v/>
      </c>
      <c r="E6" s="7" t="n">
        <v>6</v>
      </c>
      <c r="F6" s="18">
        <f>IFERROR(INDEX(Ingredients!$D$2:$D$200,MATCH(C6,Ingredients!$A$2:$A$200,0)),"")</f>
        <v/>
      </c>
      <c r="G6" s="19">
        <f>IFERROR(INDEX(Ingredients!$K$2:$K$200,MATCH(C6,Ingredients!$A$2:$A$200,0)),0)</f>
        <v/>
      </c>
      <c r="H6" s="14">
        <f>IFERROR(E6*G6,0)</f>
        <v/>
      </c>
      <c r="I6" s="20">
        <f>IFERROR(INDEX('Menu Items'!$M$2:$M$200,MATCH(A6,'Menu Items'!$A$2:$A$200,0)),0)</f>
        <v/>
      </c>
      <c r="J6" s="12">
        <f>IFERROR(E6*I6,0)</f>
        <v/>
      </c>
    </row>
    <row r="7">
      <c r="A7" s="6" t="inlineStr">
        <is>
          <t>MI-001</t>
        </is>
      </c>
      <c r="B7" s="18">
        <f>IFERROR(INDEX('Menu Items'!$B$2:$B$200,MATCH(A7,'Menu Items'!$A$2:$A$200,0)),"")</f>
        <v/>
      </c>
      <c r="C7" s="6" t="inlineStr">
        <is>
          <t>ING-013</t>
        </is>
      </c>
      <c r="D7" s="18">
        <f>IFERROR(INDEX(Ingredients!$B$2:$B$200,MATCH(C7,Ingredients!$A$2:$A$200,0)),"")</f>
        <v/>
      </c>
      <c r="E7" s="7" t="n">
        <v>0.5</v>
      </c>
      <c r="F7" s="18">
        <f>IFERROR(INDEX(Ingredients!$D$2:$D$200,MATCH(C7,Ingredients!$A$2:$A$200,0)),"")</f>
        <v/>
      </c>
      <c r="G7" s="19">
        <f>IFERROR(INDEX(Ingredients!$K$2:$K$200,MATCH(C7,Ingredients!$A$2:$A$200,0)),0)</f>
        <v/>
      </c>
      <c r="H7" s="14">
        <f>IFERROR(E7*G7,0)</f>
        <v/>
      </c>
      <c r="I7" s="20">
        <f>IFERROR(INDEX('Menu Items'!$M$2:$M$200,MATCH(A7,'Menu Items'!$A$2:$A$200,0)),0)</f>
        <v/>
      </c>
      <c r="J7" s="12">
        <f>IFERROR(E7*I7,0)</f>
        <v/>
      </c>
    </row>
    <row r="8">
      <c r="A8" s="6" t="inlineStr">
        <is>
          <t>MI-001</t>
        </is>
      </c>
      <c r="B8" s="18">
        <f>IFERROR(INDEX('Menu Items'!$B$2:$B$200,MATCH(A8,'Menu Items'!$A$2:$A$200,0)),"")</f>
        <v/>
      </c>
      <c r="C8" s="6" t="inlineStr">
        <is>
          <t>ING-030</t>
        </is>
      </c>
      <c r="D8" s="18">
        <f>IFERROR(INDEX(Ingredients!$B$2:$B$200,MATCH(C8,Ingredients!$A$2:$A$200,0)),"")</f>
        <v/>
      </c>
      <c r="E8" s="7" t="n">
        <v>1</v>
      </c>
      <c r="F8" s="18">
        <f>IFERROR(INDEX(Ingredients!$D$2:$D$200,MATCH(C8,Ingredients!$A$2:$A$200,0)),"")</f>
        <v/>
      </c>
      <c r="G8" s="19">
        <f>IFERROR(INDEX(Ingredients!$K$2:$K$200,MATCH(C8,Ingredients!$A$2:$A$200,0)),0)</f>
        <v/>
      </c>
      <c r="H8" s="14">
        <f>IFERROR(E8*G8,0)</f>
        <v/>
      </c>
      <c r="I8" s="20">
        <f>IFERROR(INDEX('Menu Items'!$M$2:$M$200,MATCH(A8,'Menu Items'!$A$2:$A$200,0)),0)</f>
        <v/>
      </c>
      <c r="J8" s="12">
        <f>IFERROR(E8*I8,0)</f>
        <v/>
      </c>
    </row>
    <row r="9">
      <c r="A9" s="6" t="inlineStr">
        <is>
          <t>MI-002</t>
        </is>
      </c>
      <c r="B9" s="18">
        <f>IFERROR(INDEX('Menu Items'!$B$2:$B$200,MATCH(A9,'Menu Items'!$A$2:$A$200,0)),"")</f>
        <v/>
      </c>
      <c r="C9" s="6" t="inlineStr">
        <is>
          <t>ING-018</t>
        </is>
      </c>
      <c r="D9" s="18">
        <f>IFERROR(INDEX(Ingredients!$B$2:$B$200,MATCH(C9,Ingredients!$A$2:$A$200,0)),"")</f>
        <v/>
      </c>
      <c r="E9" s="7" t="n">
        <v>10</v>
      </c>
      <c r="F9" s="18">
        <f>IFERROR(INDEX(Ingredients!$D$2:$D$200,MATCH(C9,Ingredients!$A$2:$A$200,0)),"")</f>
        <v/>
      </c>
      <c r="G9" s="19">
        <f>IFERROR(INDEX(Ingredients!$K$2:$K$200,MATCH(C9,Ingredients!$A$2:$A$200,0)),0)</f>
        <v/>
      </c>
      <c r="H9" s="14">
        <f>IFERROR(E9*G9,0)</f>
        <v/>
      </c>
      <c r="I9" s="20">
        <f>IFERROR(INDEX('Menu Items'!$M$2:$M$200,MATCH(A9,'Menu Items'!$A$2:$A$200,0)),0)</f>
        <v/>
      </c>
      <c r="J9" s="12">
        <f>IFERROR(E9*I9,0)</f>
        <v/>
      </c>
    </row>
    <row r="10">
      <c r="A10" s="6" t="inlineStr">
        <is>
          <t>MI-002</t>
        </is>
      </c>
      <c r="B10" s="18">
        <f>IFERROR(INDEX('Menu Items'!$B$2:$B$200,MATCH(A10,'Menu Items'!$A$2:$A$200,0)),"")</f>
        <v/>
      </c>
      <c r="C10" s="6" t="inlineStr">
        <is>
          <t>ING-002</t>
        </is>
      </c>
      <c r="D10" s="18">
        <f>IFERROR(INDEX(Ingredients!$B$2:$B$200,MATCH(C10,Ingredients!$A$2:$A$200,0)),"")</f>
        <v/>
      </c>
      <c r="E10" s="7" t="n">
        <v>6</v>
      </c>
      <c r="F10" s="18">
        <f>IFERROR(INDEX(Ingredients!$D$2:$D$200,MATCH(C10,Ingredients!$A$2:$A$200,0)),"")</f>
        <v/>
      </c>
      <c r="G10" s="19">
        <f>IFERROR(INDEX(Ingredients!$K$2:$K$200,MATCH(C10,Ingredients!$A$2:$A$200,0)),0)</f>
        <v/>
      </c>
      <c r="H10" s="14">
        <f>IFERROR(E10*G10,0)</f>
        <v/>
      </c>
      <c r="I10" s="20">
        <f>IFERROR(INDEX('Menu Items'!$M$2:$M$200,MATCH(A10,'Menu Items'!$A$2:$A$200,0)),0)</f>
        <v/>
      </c>
      <c r="J10" s="12">
        <f>IFERROR(E10*I10,0)</f>
        <v/>
      </c>
    </row>
    <row r="11">
      <c r="A11" s="6" t="inlineStr">
        <is>
          <t>MI-002</t>
        </is>
      </c>
      <c r="B11" s="18">
        <f>IFERROR(INDEX('Menu Items'!$B$2:$B$200,MATCH(A11,'Menu Items'!$A$2:$A$200,0)),"")</f>
        <v/>
      </c>
      <c r="C11" s="6" t="inlineStr">
        <is>
          <t>ING-020</t>
        </is>
      </c>
      <c r="D11" s="18">
        <f>IFERROR(INDEX(Ingredients!$B$2:$B$200,MATCH(C11,Ingredients!$A$2:$A$200,0)),"")</f>
        <v/>
      </c>
      <c r="E11" s="7" t="n">
        <v>0.5</v>
      </c>
      <c r="F11" s="18">
        <f>IFERROR(INDEX(Ingredients!$D$2:$D$200,MATCH(C11,Ingredients!$A$2:$A$200,0)),"")</f>
        <v/>
      </c>
      <c r="G11" s="19">
        <f>IFERROR(INDEX(Ingredients!$K$2:$K$200,MATCH(C11,Ingredients!$A$2:$A$200,0)),0)</f>
        <v/>
      </c>
      <c r="H11" s="14">
        <f>IFERROR(E11*G11,0)</f>
        <v/>
      </c>
      <c r="I11" s="20">
        <f>IFERROR(INDEX('Menu Items'!$M$2:$M$200,MATCH(A11,'Menu Items'!$A$2:$A$200,0)),0)</f>
        <v/>
      </c>
      <c r="J11" s="12">
        <f>IFERROR(E11*I11,0)</f>
        <v/>
      </c>
    </row>
    <row r="12">
      <c r="A12" s="6" t="inlineStr">
        <is>
          <t>MI-002</t>
        </is>
      </c>
      <c r="B12" s="18">
        <f>IFERROR(INDEX('Menu Items'!$B$2:$B$200,MATCH(A12,'Menu Items'!$A$2:$A$200,0)),"")</f>
        <v/>
      </c>
      <c r="C12" s="6" t="inlineStr">
        <is>
          <t>ING-021</t>
        </is>
      </c>
      <c r="D12" s="18">
        <f>IFERROR(INDEX(Ingredients!$B$2:$B$200,MATCH(C12,Ingredients!$A$2:$A$200,0)),"")</f>
        <v/>
      </c>
      <c r="E12" s="7" t="n">
        <v>0.25</v>
      </c>
      <c r="F12" s="18">
        <f>IFERROR(INDEX(Ingredients!$D$2:$D$200,MATCH(C12,Ingredients!$A$2:$A$200,0)),"")</f>
        <v/>
      </c>
      <c r="G12" s="19">
        <f>IFERROR(INDEX(Ingredients!$K$2:$K$200,MATCH(C12,Ingredients!$A$2:$A$200,0)),0)</f>
        <v/>
      </c>
      <c r="H12" s="14">
        <f>IFERROR(E12*G12,0)</f>
        <v/>
      </c>
      <c r="I12" s="20">
        <f>IFERROR(INDEX('Menu Items'!$M$2:$M$200,MATCH(A12,'Menu Items'!$A$2:$A$200,0)),0)</f>
        <v/>
      </c>
      <c r="J12" s="12">
        <f>IFERROR(E12*I12,0)</f>
        <v/>
      </c>
    </row>
    <row r="13">
      <c r="A13" s="6" t="inlineStr">
        <is>
          <t>MI-002</t>
        </is>
      </c>
      <c r="B13" s="18">
        <f>IFERROR(INDEX('Menu Items'!$B$2:$B$200,MATCH(A13,'Menu Items'!$A$2:$A$200,0)),"")</f>
        <v/>
      </c>
      <c r="C13" s="6" t="inlineStr">
        <is>
          <t>ING-030</t>
        </is>
      </c>
      <c r="D13" s="18">
        <f>IFERROR(INDEX(Ingredients!$B$2:$B$200,MATCH(C13,Ingredients!$A$2:$A$200,0)),"")</f>
        <v/>
      </c>
      <c r="E13" s="7" t="n">
        <v>1</v>
      </c>
      <c r="F13" s="18">
        <f>IFERROR(INDEX(Ingredients!$D$2:$D$200,MATCH(C13,Ingredients!$A$2:$A$200,0)),"")</f>
        <v/>
      </c>
      <c r="G13" s="19">
        <f>IFERROR(INDEX(Ingredients!$K$2:$K$200,MATCH(C13,Ingredients!$A$2:$A$200,0)),0)</f>
        <v/>
      </c>
      <c r="H13" s="14">
        <f>IFERROR(E13*G13,0)</f>
        <v/>
      </c>
      <c r="I13" s="20">
        <f>IFERROR(INDEX('Menu Items'!$M$2:$M$200,MATCH(A13,'Menu Items'!$A$2:$A$200,0)),0)</f>
        <v/>
      </c>
      <c r="J13" s="12">
        <f>IFERROR(E13*I13,0)</f>
        <v/>
      </c>
    </row>
    <row r="14">
      <c r="A14" s="6" t="inlineStr">
        <is>
          <t>MI-003</t>
        </is>
      </c>
      <c r="B14" s="18">
        <f>IFERROR(INDEX('Menu Items'!$B$2:$B$200,MATCH(A14,'Menu Items'!$A$2:$A$200,0)),"")</f>
        <v/>
      </c>
      <c r="C14" s="6" t="inlineStr">
        <is>
          <t>ING-019</t>
        </is>
      </c>
      <c r="D14" s="18">
        <f>IFERROR(INDEX(Ingredients!$B$2:$B$200,MATCH(C14,Ingredients!$A$2:$A$200,0)),"")</f>
        <v/>
      </c>
      <c r="E14" s="7" t="n">
        <v>6</v>
      </c>
      <c r="F14" s="18">
        <f>IFERROR(INDEX(Ingredients!$D$2:$D$200,MATCH(C14,Ingredients!$A$2:$A$200,0)),"")</f>
        <v/>
      </c>
      <c r="G14" s="19">
        <f>IFERROR(INDEX(Ingredients!$K$2:$K$200,MATCH(C14,Ingredients!$A$2:$A$200,0)),0)</f>
        <v/>
      </c>
      <c r="H14" s="14">
        <f>IFERROR(E14*G14,0)</f>
        <v/>
      </c>
      <c r="I14" s="20">
        <f>IFERROR(INDEX('Menu Items'!$M$2:$M$200,MATCH(A14,'Menu Items'!$A$2:$A$200,0)),0)</f>
        <v/>
      </c>
      <c r="J14" s="12">
        <f>IFERROR(E14*I14,0)</f>
        <v/>
      </c>
    </row>
    <row r="15">
      <c r="A15" s="6" t="inlineStr">
        <is>
          <t>MI-003</t>
        </is>
      </c>
      <c r="B15" s="18">
        <f>IFERROR(INDEX('Menu Items'!$B$2:$B$200,MATCH(A15,'Menu Items'!$A$2:$A$200,0)),"")</f>
        <v/>
      </c>
      <c r="C15" s="6" t="inlineStr">
        <is>
          <t>ING-018</t>
        </is>
      </c>
      <c r="D15" s="18">
        <f>IFERROR(INDEX(Ingredients!$B$2:$B$200,MATCH(C15,Ingredients!$A$2:$A$200,0)),"")</f>
        <v/>
      </c>
      <c r="E15" s="7" t="n">
        <v>4</v>
      </c>
      <c r="F15" s="18">
        <f>IFERROR(INDEX(Ingredients!$D$2:$D$200,MATCH(C15,Ingredients!$A$2:$A$200,0)),"")</f>
        <v/>
      </c>
      <c r="G15" s="19">
        <f>IFERROR(INDEX(Ingredients!$K$2:$K$200,MATCH(C15,Ingredients!$A$2:$A$200,0)),0)</f>
        <v/>
      </c>
      <c r="H15" s="14">
        <f>IFERROR(E15*G15,0)</f>
        <v/>
      </c>
      <c r="I15" s="20">
        <f>IFERROR(INDEX('Menu Items'!$M$2:$M$200,MATCH(A15,'Menu Items'!$A$2:$A$200,0)),0)</f>
        <v/>
      </c>
      <c r="J15" s="12">
        <f>IFERROR(E15*I15,0)</f>
        <v/>
      </c>
    </row>
    <row r="16">
      <c r="A16" s="6" t="inlineStr">
        <is>
          <t>MI-003</t>
        </is>
      </c>
      <c r="B16" s="18">
        <f>IFERROR(INDEX('Menu Items'!$B$2:$B$200,MATCH(A16,'Menu Items'!$A$2:$A$200,0)),"")</f>
        <v/>
      </c>
      <c r="C16" s="6" t="inlineStr">
        <is>
          <t>ING-001</t>
        </is>
      </c>
      <c r="D16" s="18">
        <f>IFERROR(INDEX(Ingredients!$B$2:$B$200,MATCH(C16,Ingredients!$A$2:$A$200,0)),"")</f>
        <v/>
      </c>
      <c r="E16" s="7" t="n">
        <v>5</v>
      </c>
      <c r="F16" s="18">
        <f>IFERROR(INDEX(Ingredients!$D$2:$D$200,MATCH(C16,Ingredients!$A$2:$A$200,0)),"")</f>
        <v/>
      </c>
      <c r="G16" s="19">
        <f>IFERROR(INDEX(Ingredients!$K$2:$K$200,MATCH(C16,Ingredients!$A$2:$A$200,0)),0)</f>
        <v/>
      </c>
      <c r="H16" s="14">
        <f>IFERROR(E16*G16,0)</f>
        <v/>
      </c>
      <c r="I16" s="20">
        <f>IFERROR(INDEX('Menu Items'!$M$2:$M$200,MATCH(A16,'Menu Items'!$A$2:$A$200,0)),0)</f>
        <v/>
      </c>
      <c r="J16" s="12">
        <f>IFERROR(E16*I16,0)</f>
        <v/>
      </c>
    </row>
    <row r="17">
      <c r="A17" s="6" t="inlineStr">
        <is>
          <t>MI-003</t>
        </is>
      </c>
      <c r="B17" s="18">
        <f>IFERROR(INDEX('Menu Items'!$B$2:$B$200,MATCH(A17,'Menu Items'!$A$2:$A$200,0)),"")</f>
        <v/>
      </c>
      <c r="C17" s="6" t="inlineStr">
        <is>
          <t>ING-013</t>
        </is>
      </c>
      <c r="D17" s="18">
        <f>IFERROR(INDEX(Ingredients!$B$2:$B$200,MATCH(C17,Ingredients!$A$2:$A$200,0)),"")</f>
        <v/>
      </c>
      <c r="E17" s="7" t="n">
        <v>0.5</v>
      </c>
      <c r="F17" s="18">
        <f>IFERROR(INDEX(Ingredients!$D$2:$D$200,MATCH(C17,Ingredients!$A$2:$A$200,0)),"")</f>
        <v/>
      </c>
      <c r="G17" s="19">
        <f>IFERROR(INDEX(Ingredients!$K$2:$K$200,MATCH(C17,Ingredients!$A$2:$A$200,0)),0)</f>
        <v/>
      </c>
      <c r="H17" s="14">
        <f>IFERROR(E17*G17,0)</f>
        <v/>
      </c>
      <c r="I17" s="20">
        <f>IFERROR(INDEX('Menu Items'!$M$2:$M$200,MATCH(A17,'Menu Items'!$A$2:$A$200,0)),0)</f>
        <v/>
      </c>
      <c r="J17" s="12">
        <f>IFERROR(E17*I17,0)</f>
        <v/>
      </c>
    </row>
    <row r="18">
      <c r="A18" s="6" t="inlineStr">
        <is>
          <t>MI-003</t>
        </is>
      </c>
      <c r="B18" s="18">
        <f>IFERROR(INDEX('Menu Items'!$B$2:$B$200,MATCH(A18,'Menu Items'!$A$2:$A$200,0)),"")</f>
        <v/>
      </c>
      <c r="C18" s="6" t="inlineStr">
        <is>
          <t>ING-020</t>
        </is>
      </c>
      <c r="D18" s="18">
        <f>IFERROR(INDEX(Ingredients!$B$2:$B$200,MATCH(C18,Ingredients!$A$2:$A$200,0)),"")</f>
        <v/>
      </c>
      <c r="E18" s="7" t="n">
        <v>0.5</v>
      </c>
      <c r="F18" s="18">
        <f>IFERROR(INDEX(Ingredients!$D$2:$D$200,MATCH(C18,Ingredients!$A$2:$A$200,0)),"")</f>
        <v/>
      </c>
      <c r="G18" s="19">
        <f>IFERROR(INDEX(Ingredients!$K$2:$K$200,MATCH(C18,Ingredients!$A$2:$A$200,0)),0)</f>
        <v/>
      </c>
      <c r="H18" s="14">
        <f>IFERROR(E18*G18,0)</f>
        <v/>
      </c>
      <c r="I18" s="20">
        <f>IFERROR(INDEX('Menu Items'!$M$2:$M$200,MATCH(A18,'Menu Items'!$A$2:$A$200,0)),0)</f>
        <v/>
      </c>
      <c r="J18" s="12">
        <f>IFERROR(E18*I18,0)</f>
        <v/>
      </c>
    </row>
    <row r="19">
      <c r="A19" s="6" t="inlineStr">
        <is>
          <t>MI-003</t>
        </is>
      </c>
      <c r="B19" s="18">
        <f>IFERROR(INDEX('Menu Items'!$B$2:$B$200,MATCH(A19,'Menu Items'!$A$2:$A$200,0)),"")</f>
        <v/>
      </c>
      <c r="C19" s="6" t="inlineStr">
        <is>
          <t>ING-030</t>
        </is>
      </c>
      <c r="D19" s="18">
        <f>IFERROR(INDEX(Ingredients!$B$2:$B$200,MATCH(C19,Ingredients!$A$2:$A$200,0)),"")</f>
        <v/>
      </c>
      <c r="E19" s="7" t="n">
        <v>1</v>
      </c>
      <c r="F19" s="18">
        <f>IFERROR(INDEX(Ingredients!$D$2:$D$200,MATCH(C19,Ingredients!$A$2:$A$200,0)),"")</f>
        <v/>
      </c>
      <c r="G19" s="19">
        <f>IFERROR(INDEX(Ingredients!$K$2:$K$200,MATCH(C19,Ingredients!$A$2:$A$200,0)),0)</f>
        <v/>
      </c>
      <c r="H19" s="14">
        <f>IFERROR(E19*G19,0)</f>
        <v/>
      </c>
      <c r="I19" s="20">
        <f>IFERROR(INDEX('Menu Items'!$M$2:$M$200,MATCH(A19,'Menu Items'!$A$2:$A$200,0)),0)</f>
        <v/>
      </c>
      <c r="J19" s="12">
        <f>IFERROR(E19*I19,0)</f>
        <v/>
      </c>
    </row>
    <row r="20">
      <c r="A20" s="6" t="inlineStr">
        <is>
          <t>MI-004</t>
        </is>
      </c>
      <c r="B20" s="18">
        <f>IFERROR(INDEX('Menu Items'!$B$2:$B$200,MATCH(A20,'Menu Items'!$A$2:$A$200,0)),"")</f>
        <v/>
      </c>
      <c r="C20" s="6" t="inlineStr">
        <is>
          <t>ING-020</t>
        </is>
      </c>
      <c r="D20" s="18">
        <f>IFERROR(INDEX(Ingredients!$B$2:$B$200,MATCH(C20,Ingredients!$A$2:$A$200,0)),"")</f>
        <v/>
      </c>
      <c r="E20" s="7" t="n">
        <v>1</v>
      </c>
      <c r="F20" s="18">
        <f>IFERROR(INDEX(Ingredients!$D$2:$D$200,MATCH(C20,Ingredients!$A$2:$A$200,0)),"")</f>
        <v/>
      </c>
      <c r="G20" s="19">
        <f>IFERROR(INDEX(Ingredients!$K$2:$K$200,MATCH(C20,Ingredients!$A$2:$A$200,0)),0)</f>
        <v/>
      </c>
      <c r="H20" s="14">
        <f>IFERROR(E20*G20,0)</f>
        <v/>
      </c>
      <c r="I20" s="20">
        <f>IFERROR(INDEX('Menu Items'!$M$2:$M$200,MATCH(A20,'Menu Items'!$A$2:$A$200,0)),0)</f>
        <v/>
      </c>
      <c r="J20" s="12">
        <f>IFERROR(E20*I20,0)</f>
        <v/>
      </c>
    </row>
    <row r="21">
      <c r="A21" s="6" t="inlineStr">
        <is>
          <t>MI-004</t>
        </is>
      </c>
      <c r="B21" s="18">
        <f>IFERROR(INDEX('Menu Items'!$B$2:$B$200,MATCH(A21,'Menu Items'!$A$2:$A$200,0)),"")</f>
        <v/>
      </c>
      <c r="C21" s="6" t="inlineStr">
        <is>
          <t>ING-013</t>
        </is>
      </c>
      <c r="D21" s="18">
        <f>IFERROR(INDEX(Ingredients!$B$2:$B$200,MATCH(C21,Ingredients!$A$2:$A$200,0)),"")</f>
        <v/>
      </c>
      <c r="E21" s="7" t="n">
        <v>0.5</v>
      </c>
      <c r="F21" s="18">
        <f>IFERROR(INDEX(Ingredients!$D$2:$D$200,MATCH(C21,Ingredients!$A$2:$A$200,0)),"")</f>
        <v/>
      </c>
      <c r="G21" s="19">
        <f>IFERROR(INDEX(Ingredients!$K$2:$K$200,MATCH(C21,Ingredients!$A$2:$A$200,0)),0)</f>
        <v/>
      </c>
      <c r="H21" s="14">
        <f>IFERROR(E21*G21,0)</f>
        <v/>
      </c>
      <c r="I21" s="20">
        <f>IFERROR(INDEX('Menu Items'!$M$2:$M$200,MATCH(A21,'Menu Items'!$A$2:$A$200,0)),0)</f>
        <v/>
      </c>
      <c r="J21" s="12">
        <f>IFERROR(E21*I21,0)</f>
        <v/>
      </c>
    </row>
    <row r="22">
      <c r="A22" s="6" t="inlineStr">
        <is>
          <t>MI-004</t>
        </is>
      </c>
      <c r="B22" s="18">
        <f>IFERROR(INDEX('Menu Items'!$B$2:$B$200,MATCH(A22,'Menu Items'!$A$2:$A$200,0)),"")</f>
        <v/>
      </c>
      <c r="C22" s="6" t="inlineStr">
        <is>
          <t>ING-023</t>
        </is>
      </c>
      <c r="D22" s="18">
        <f>IFERROR(INDEX(Ingredients!$B$2:$B$200,MATCH(C22,Ingredients!$A$2:$A$200,0)),"")</f>
        <v/>
      </c>
      <c r="E22" s="7" t="n">
        <v>0.25</v>
      </c>
      <c r="F22" s="18">
        <f>IFERROR(INDEX(Ingredients!$D$2:$D$200,MATCH(C22,Ingredients!$A$2:$A$200,0)),"")</f>
        <v/>
      </c>
      <c r="G22" s="19">
        <f>IFERROR(INDEX(Ingredients!$K$2:$K$200,MATCH(C22,Ingredients!$A$2:$A$200,0)),0)</f>
        <v/>
      </c>
      <c r="H22" s="14">
        <f>IFERROR(E22*G22,0)</f>
        <v/>
      </c>
      <c r="I22" s="20">
        <f>IFERROR(INDEX('Menu Items'!$M$2:$M$200,MATCH(A22,'Menu Items'!$A$2:$A$200,0)),0)</f>
        <v/>
      </c>
      <c r="J22" s="12">
        <f>IFERROR(E22*I22,0)</f>
        <v/>
      </c>
    </row>
    <row r="23">
      <c r="A23" s="6" t="inlineStr">
        <is>
          <t>MI-005</t>
        </is>
      </c>
      <c r="B23" s="18">
        <f>IFERROR(INDEX('Menu Items'!$B$2:$B$200,MATCH(A23,'Menu Items'!$A$2:$A$200,0)),"")</f>
        <v/>
      </c>
      <c r="C23" s="6" t="inlineStr">
        <is>
          <t>ING-010</t>
        </is>
      </c>
      <c r="D23" s="18">
        <f>IFERROR(INDEX(Ingredients!$B$2:$B$200,MATCH(C23,Ingredients!$A$2:$A$200,0)),"")</f>
        <v/>
      </c>
      <c r="E23" s="7" t="n">
        <v>5</v>
      </c>
      <c r="F23" s="18">
        <f>IFERROR(INDEX(Ingredients!$D$2:$D$200,MATCH(C23,Ingredients!$A$2:$A$200,0)),"")</f>
        <v/>
      </c>
      <c r="G23" s="19">
        <f>IFERROR(INDEX(Ingredients!$K$2:$K$200,MATCH(C23,Ingredients!$A$2:$A$200,0)),0)</f>
        <v/>
      </c>
      <c r="H23" s="14">
        <f>IFERROR(E23*G23,0)</f>
        <v/>
      </c>
      <c r="I23" s="20">
        <f>IFERROR(INDEX('Menu Items'!$M$2:$M$200,MATCH(A23,'Menu Items'!$A$2:$A$200,0)),0)</f>
        <v/>
      </c>
      <c r="J23" s="12">
        <f>IFERROR(E23*I23,0)</f>
        <v/>
      </c>
    </row>
    <row r="24">
      <c r="A24" s="6" t="inlineStr">
        <is>
          <t>MI-005</t>
        </is>
      </c>
      <c r="B24" s="18">
        <f>IFERROR(INDEX('Menu Items'!$B$2:$B$200,MATCH(A24,'Menu Items'!$A$2:$A$200,0)),"")</f>
        <v/>
      </c>
      <c r="C24" s="6" t="inlineStr">
        <is>
          <t>ING-009</t>
        </is>
      </c>
      <c r="D24" s="18">
        <f>IFERROR(INDEX(Ingredients!$B$2:$B$200,MATCH(C24,Ingredients!$A$2:$A$200,0)),"")</f>
        <v/>
      </c>
      <c r="E24" s="7" t="n">
        <v>3</v>
      </c>
      <c r="F24" s="18">
        <f>IFERROR(INDEX(Ingredients!$D$2:$D$200,MATCH(C24,Ingredients!$A$2:$A$200,0)),"")</f>
        <v/>
      </c>
      <c r="G24" s="19">
        <f>IFERROR(INDEX(Ingredients!$K$2:$K$200,MATCH(C24,Ingredients!$A$2:$A$200,0)),0)</f>
        <v/>
      </c>
      <c r="H24" s="14">
        <f>IFERROR(E24*G24,0)</f>
        <v/>
      </c>
      <c r="I24" s="20">
        <f>IFERROR(INDEX('Menu Items'!$M$2:$M$200,MATCH(A24,'Menu Items'!$A$2:$A$200,0)),0)</f>
        <v/>
      </c>
      <c r="J24" s="12">
        <f>IFERROR(E24*I24,0)</f>
        <v/>
      </c>
    </row>
    <row r="25">
      <c r="A25" s="6" t="inlineStr">
        <is>
          <t>MI-005</t>
        </is>
      </c>
      <c r="B25" s="18">
        <f>IFERROR(INDEX('Menu Items'!$B$2:$B$200,MATCH(A25,'Menu Items'!$A$2:$A$200,0)),"")</f>
        <v/>
      </c>
      <c r="C25" s="6" t="inlineStr">
        <is>
          <t>ING-007</t>
        </is>
      </c>
      <c r="D25" s="18">
        <f>IFERROR(INDEX(Ingredients!$B$2:$B$200,MATCH(C25,Ingredients!$A$2:$A$200,0)),"")</f>
        <v/>
      </c>
      <c r="E25" s="7" t="n">
        <v>1</v>
      </c>
      <c r="F25" s="18">
        <f>IFERROR(INDEX(Ingredients!$D$2:$D$200,MATCH(C25,Ingredients!$A$2:$A$200,0)),"")</f>
        <v/>
      </c>
      <c r="G25" s="19">
        <f>IFERROR(INDEX(Ingredients!$K$2:$K$200,MATCH(C25,Ingredients!$A$2:$A$200,0)),0)</f>
        <v/>
      </c>
      <c r="H25" s="14">
        <f>IFERROR(E25*G25,0)</f>
        <v/>
      </c>
      <c r="I25" s="20">
        <f>IFERROR(INDEX('Menu Items'!$M$2:$M$200,MATCH(A25,'Menu Items'!$A$2:$A$200,0)),0)</f>
        <v/>
      </c>
      <c r="J25" s="12">
        <f>IFERROR(E25*I25,0)</f>
        <v/>
      </c>
    </row>
    <row r="26">
      <c r="A26" s="6" t="inlineStr">
        <is>
          <t>MI-005</t>
        </is>
      </c>
      <c r="B26" s="18">
        <f>IFERROR(INDEX('Menu Items'!$B$2:$B$200,MATCH(A26,'Menu Items'!$A$2:$A$200,0)),"")</f>
        <v/>
      </c>
      <c r="C26" s="6" t="inlineStr">
        <is>
          <t>ING-006</t>
        </is>
      </c>
      <c r="D26" s="18">
        <f>IFERROR(INDEX(Ingredients!$B$2:$B$200,MATCH(C26,Ingredients!$A$2:$A$200,0)),"")</f>
        <v/>
      </c>
      <c r="E26" s="7" t="n">
        <v>4</v>
      </c>
      <c r="F26" s="18">
        <f>IFERROR(INDEX(Ingredients!$D$2:$D$200,MATCH(C26,Ingredients!$A$2:$A$200,0)),"")</f>
        <v/>
      </c>
      <c r="G26" s="19">
        <f>IFERROR(INDEX(Ingredients!$K$2:$K$200,MATCH(C26,Ingredients!$A$2:$A$200,0)),0)</f>
        <v/>
      </c>
      <c r="H26" s="14">
        <f>IFERROR(E26*G26,0)</f>
        <v/>
      </c>
      <c r="I26" s="20">
        <f>IFERROR(INDEX('Menu Items'!$M$2:$M$200,MATCH(A26,'Menu Items'!$A$2:$A$200,0)),0)</f>
        <v/>
      </c>
      <c r="J26" s="12">
        <f>IFERROR(E26*I26,0)</f>
        <v/>
      </c>
    </row>
    <row r="27">
      <c r="A27" s="6" t="inlineStr">
        <is>
          <t>MI-005</t>
        </is>
      </c>
      <c r="B27" s="18">
        <f>IFERROR(INDEX('Menu Items'!$B$2:$B$200,MATCH(A27,'Menu Items'!$A$2:$A$200,0)),"")</f>
        <v/>
      </c>
      <c r="C27" s="6" t="inlineStr">
        <is>
          <t>ING-001</t>
        </is>
      </c>
      <c r="D27" s="18">
        <f>IFERROR(INDEX(Ingredients!$B$2:$B$200,MATCH(C27,Ingredients!$A$2:$A$200,0)),"")</f>
        <v/>
      </c>
      <c r="E27" s="7" t="n">
        <v>6</v>
      </c>
      <c r="F27" s="18">
        <f>IFERROR(INDEX(Ingredients!$D$2:$D$200,MATCH(C27,Ingredients!$A$2:$A$200,0)),"")</f>
        <v/>
      </c>
      <c r="G27" s="19">
        <f>IFERROR(INDEX(Ingredients!$K$2:$K$200,MATCH(C27,Ingredients!$A$2:$A$200,0)),0)</f>
        <v/>
      </c>
      <c r="H27" s="14">
        <f>IFERROR(E27*G27,0)</f>
        <v/>
      </c>
      <c r="I27" s="20">
        <f>IFERROR(INDEX('Menu Items'!$M$2:$M$200,MATCH(A27,'Menu Items'!$A$2:$A$200,0)),0)</f>
        <v/>
      </c>
      <c r="J27" s="12">
        <f>IFERROR(E27*I27,0)</f>
        <v/>
      </c>
    </row>
    <row r="28">
      <c r="A28" s="6" t="inlineStr">
        <is>
          <t>MI-005</t>
        </is>
      </c>
      <c r="B28" s="18">
        <f>IFERROR(INDEX('Menu Items'!$B$2:$B$200,MATCH(A28,'Menu Items'!$A$2:$A$200,0)),"")</f>
        <v/>
      </c>
      <c r="C28" s="6" t="inlineStr">
        <is>
          <t>ING-029</t>
        </is>
      </c>
      <c r="D28" s="18">
        <f>IFERROR(INDEX(Ingredients!$B$2:$B$200,MATCH(C28,Ingredients!$A$2:$A$200,0)),"")</f>
        <v/>
      </c>
      <c r="E28" s="7" t="n">
        <v>4</v>
      </c>
      <c r="F28" s="18">
        <f>IFERROR(INDEX(Ingredients!$D$2:$D$200,MATCH(C28,Ingredients!$A$2:$A$200,0)),"")</f>
        <v/>
      </c>
      <c r="G28" s="19">
        <f>IFERROR(INDEX(Ingredients!$K$2:$K$200,MATCH(C28,Ingredients!$A$2:$A$200,0)),0)</f>
        <v/>
      </c>
      <c r="H28" s="14">
        <f>IFERROR(E28*G28,0)</f>
        <v/>
      </c>
      <c r="I28" s="20">
        <f>IFERROR(INDEX('Menu Items'!$M$2:$M$200,MATCH(A28,'Menu Items'!$A$2:$A$200,0)),0)</f>
        <v/>
      </c>
      <c r="J28" s="12">
        <f>IFERROR(E28*I28,0)</f>
        <v/>
      </c>
    </row>
    <row r="29">
      <c r="A29" s="6" t="inlineStr">
        <is>
          <t>MI-005</t>
        </is>
      </c>
      <c r="B29" s="18">
        <f>IFERROR(INDEX('Menu Items'!$B$2:$B$200,MATCH(A29,'Menu Items'!$A$2:$A$200,0)),"")</f>
        <v/>
      </c>
      <c r="C29" s="6" t="inlineStr">
        <is>
          <t>ING-031</t>
        </is>
      </c>
      <c r="D29" s="18">
        <f>IFERROR(INDEX(Ingredients!$B$2:$B$200,MATCH(C29,Ingredients!$A$2:$A$200,0)),"")</f>
        <v/>
      </c>
      <c r="E29" s="7" t="n">
        <v>1</v>
      </c>
      <c r="F29" s="18">
        <f>IFERROR(INDEX(Ingredients!$D$2:$D$200,MATCH(C29,Ingredients!$A$2:$A$200,0)),"")</f>
        <v/>
      </c>
      <c r="G29" s="19">
        <f>IFERROR(INDEX(Ingredients!$K$2:$K$200,MATCH(C29,Ingredients!$A$2:$A$200,0)),0)</f>
        <v/>
      </c>
      <c r="H29" s="14">
        <f>IFERROR(E29*G29,0)</f>
        <v/>
      </c>
      <c r="I29" s="20">
        <f>IFERROR(INDEX('Menu Items'!$M$2:$M$200,MATCH(A29,'Menu Items'!$A$2:$A$200,0)),0)</f>
        <v/>
      </c>
      <c r="J29" s="12">
        <f>IFERROR(E29*I29,0)</f>
        <v/>
      </c>
    </row>
    <row r="30">
      <c r="A30" s="6" t="inlineStr">
        <is>
          <t>MI-006</t>
        </is>
      </c>
      <c r="B30" s="18">
        <f>IFERROR(INDEX('Menu Items'!$B$2:$B$200,MATCH(A30,'Menu Items'!$A$2:$A$200,0)),"")</f>
        <v/>
      </c>
      <c r="C30" s="6" t="inlineStr">
        <is>
          <t>ING-008</t>
        </is>
      </c>
      <c r="D30" s="18">
        <f>IFERROR(INDEX(Ingredients!$B$2:$B$200,MATCH(C30,Ingredients!$A$2:$A$200,0)),"")</f>
        <v/>
      </c>
      <c r="E30" s="7" t="n">
        <v>6</v>
      </c>
      <c r="F30" s="18">
        <f>IFERROR(INDEX(Ingredients!$D$2:$D$200,MATCH(C30,Ingredients!$A$2:$A$200,0)),"")</f>
        <v/>
      </c>
      <c r="G30" s="19">
        <f>IFERROR(INDEX(Ingredients!$K$2:$K$200,MATCH(C30,Ingredients!$A$2:$A$200,0)),0)</f>
        <v/>
      </c>
      <c r="H30" s="14">
        <f>IFERROR(E30*G30,0)</f>
        <v/>
      </c>
      <c r="I30" s="20">
        <f>IFERROR(INDEX('Menu Items'!$M$2:$M$200,MATCH(A30,'Menu Items'!$A$2:$A$200,0)),0)</f>
        <v/>
      </c>
      <c r="J30" s="12">
        <f>IFERROR(E30*I30,0)</f>
        <v/>
      </c>
    </row>
    <row r="31">
      <c r="A31" s="6" t="inlineStr">
        <is>
          <t>MI-006</t>
        </is>
      </c>
      <c r="B31" s="18">
        <f>IFERROR(INDEX('Menu Items'!$B$2:$B$200,MATCH(A31,'Menu Items'!$A$2:$A$200,0)),"")</f>
        <v/>
      </c>
      <c r="C31" s="6" t="inlineStr">
        <is>
          <t>ING-007</t>
        </is>
      </c>
      <c r="D31" s="18">
        <f>IFERROR(INDEX(Ingredients!$B$2:$B$200,MATCH(C31,Ingredients!$A$2:$A$200,0)),"")</f>
        <v/>
      </c>
      <c r="E31" s="7" t="n">
        <v>1</v>
      </c>
      <c r="F31" s="18">
        <f>IFERROR(INDEX(Ingredients!$D$2:$D$200,MATCH(C31,Ingredients!$A$2:$A$200,0)),"")</f>
        <v/>
      </c>
      <c r="G31" s="19">
        <f>IFERROR(INDEX(Ingredients!$K$2:$K$200,MATCH(C31,Ingredients!$A$2:$A$200,0)),0)</f>
        <v/>
      </c>
      <c r="H31" s="14">
        <f>IFERROR(E31*G31,0)</f>
        <v/>
      </c>
      <c r="I31" s="20">
        <f>IFERROR(INDEX('Menu Items'!$M$2:$M$200,MATCH(A31,'Menu Items'!$A$2:$A$200,0)),0)</f>
        <v/>
      </c>
      <c r="J31" s="12">
        <f>IFERROR(E31*I31,0)</f>
        <v/>
      </c>
    </row>
    <row r="32">
      <c r="A32" s="6" t="inlineStr">
        <is>
          <t>MI-006</t>
        </is>
      </c>
      <c r="B32" s="18">
        <f>IFERROR(INDEX('Menu Items'!$B$2:$B$200,MATCH(A32,'Menu Items'!$A$2:$A$200,0)),"")</f>
        <v/>
      </c>
      <c r="C32" s="6" t="inlineStr">
        <is>
          <t>ING-006</t>
        </is>
      </c>
      <c r="D32" s="18">
        <f>IFERROR(INDEX(Ingredients!$B$2:$B$200,MATCH(C32,Ingredients!$A$2:$A$200,0)),"")</f>
        <v/>
      </c>
      <c r="E32" s="7" t="n">
        <v>4</v>
      </c>
      <c r="F32" s="18">
        <f>IFERROR(INDEX(Ingredients!$D$2:$D$200,MATCH(C32,Ingredients!$A$2:$A$200,0)),"")</f>
        <v/>
      </c>
      <c r="G32" s="19">
        <f>IFERROR(INDEX(Ingredients!$K$2:$K$200,MATCH(C32,Ingredients!$A$2:$A$200,0)),0)</f>
        <v/>
      </c>
      <c r="H32" s="14">
        <f>IFERROR(E32*G32,0)</f>
        <v/>
      </c>
      <c r="I32" s="20">
        <f>IFERROR(INDEX('Menu Items'!$M$2:$M$200,MATCH(A32,'Menu Items'!$A$2:$A$200,0)),0)</f>
        <v/>
      </c>
      <c r="J32" s="12">
        <f>IFERROR(E32*I32,0)</f>
        <v/>
      </c>
    </row>
    <row r="33">
      <c r="A33" s="6" t="inlineStr">
        <is>
          <t>MI-006</t>
        </is>
      </c>
      <c r="B33" s="18">
        <f>IFERROR(INDEX('Menu Items'!$B$2:$B$200,MATCH(A33,'Menu Items'!$A$2:$A$200,0)),"")</f>
        <v/>
      </c>
      <c r="C33" s="6" t="inlineStr">
        <is>
          <t>ING-001</t>
        </is>
      </c>
      <c r="D33" s="18">
        <f>IFERROR(INDEX(Ingredients!$B$2:$B$200,MATCH(C33,Ingredients!$A$2:$A$200,0)),"")</f>
        <v/>
      </c>
      <c r="E33" s="7" t="n">
        <v>6</v>
      </c>
      <c r="F33" s="18">
        <f>IFERROR(INDEX(Ingredients!$D$2:$D$200,MATCH(C33,Ingredients!$A$2:$A$200,0)),"")</f>
        <v/>
      </c>
      <c r="G33" s="19">
        <f>IFERROR(INDEX(Ingredients!$K$2:$K$200,MATCH(C33,Ingredients!$A$2:$A$200,0)),0)</f>
        <v/>
      </c>
      <c r="H33" s="14">
        <f>IFERROR(E33*G33,0)</f>
        <v/>
      </c>
      <c r="I33" s="20">
        <f>IFERROR(INDEX('Menu Items'!$M$2:$M$200,MATCH(A33,'Menu Items'!$A$2:$A$200,0)),0)</f>
        <v/>
      </c>
      <c r="J33" s="12">
        <f>IFERROR(E33*I33,0)</f>
        <v/>
      </c>
    </row>
    <row r="34">
      <c r="A34" s="6" t="inlineStr">
        <is>
          <t>MI-006</t>
        </is>
      </c>
      <c r="B34" s="18">
        <f>IFERROR(INDEX('Menu Items'!$B$2:$B$200,MATCH(A34,'Menu Items'!$A$2:$A$200,0)),"")</f>
        <v/>
      </c>
      <c r="C34" s="6" t="inlineStr">
        <is>
          <t>ING-023</t>
        </is>
      </c>
      <c r="D34" s="18">
        <f>IFERROR(INDEX(Ingredients!$B$2:$B$200,MATCH(C34,Ingredients!$A$2:$A$200,0)),"")</f>
        <v/>
      </c>
      <c r="E34" s="7" t="n">
        <v>0.5</v>
      </c>
      <c r="F34" s="18">
        <f>IFERROR(INDEX(Ingredients!$D$2:$D$200,MATCH(C34,Ingredients!$A$2:$A$200,0)),"")</f>
        <v/>
      </c>
      <c r="G34" s="19">
        <f>IFERROR(INDEX(Ingredients!$K$2:$K$200,MATCH(C34,Ingredients!$A$2:$A$200,0)),0)</f>
        <v/>
      </c>
      <c r="H34" s="14">
        <f>IFERROR(E34*G34,0)</f>
        <v/>
      </c>
      <c r="I34" s="20">
        <f>IFERROR(INDEX('Menu Items'!$M$2:$M$200,MATCH(A34,'Menu Items'!$A$2:$A$200,0)),0)</f>
        <v/>
      </c>
      <c r="J34" s="12">
        <f>IFERROR(E34*I34,0)</f>
        <v/>
      </c>
    </row>
    <row r="35">
      <c r="A35" s="6" t="inlineStr">
        <is>
          <t>MI-006</t>
        </is>
      </c>
      <c r="B35" s="18">
        <f>IFERROR(INDEX('Menu Items'!$B$2:$B$200,MATCH(A35,'Menu Items'!$A$2:$A$200,0)),"")</f>
        <v/>
      </c>
      <c r="C35" s="6" t="inlineStr">
        <is>
          <t>ING-029</t>
        </is>
      </c>
      <c r="D35" s="18">
        <f>IFERROR(INDEX(Ingredients!$B$2:$B$200,MATCH(C35,Ingredients!$A$2:$A$200,0)),"")</f>
        <v/>
      </c>
      <c r="E35" s="7" t="n">
        <v>4</v>
      </c>
      <c r="F35" s="18">
        <f>IFERROR(INDEX(Ingredients!$D$2:$D$200,MATCH(C35,Ingredients!$A$2:$A$200,0)),"")</f>
        <v/>
      </c>
      <c r="G35" s="19">
        <f>IFERROR(INDEX(Ingredients!$K$2:$K$200,MATCH(C35,Ingredients!$A$2:$A$200,0)),0)</f>
        <v/>
      </c>
      <c r="H35" s="14">
        <f>IFERROR(E35*G35,0)</f>
        <v/>
      </c>
      <c r="I35" s="20">
        <f>IFERROR(INDEX('Menu Items'!$M$2:$M$200,MATCH(A35,'Menu Items'!$A$2:$A$200,0)),0)</f>
        <v/>
      </c>
      <c r="J35" s="12">
        <f>IFERROR(E35*I35,0)</f>
        <v/>
      </c>
    </row>
    <row r="36">
      <c r="A36" s="6" t="inlineStr">
        <is>
          <t>MI-006</t>
        </is>
      </c>
      <c r="B36" s="18">
        <f>IFERROR(INDEX('Menu Items'!$B$2:$B$200,MATCH(A36,'Menu Items'!$A$2:$A$200,0)),"")</f>
        <v/>
      </c>
      <c r="C36" s="6" t="inlineStr">
        <is>
          <t>ING-031</t>
        </is>
      </c>
      <c r="D36" s="18">
        <f>IFERROR(INDEX(Ingredients!$B$2:$B$200,MATCH(C36,Ingredients!$A$2:$A$200,0)),"")</f>
        <v/>
      </c>
      <c r="E36" s="7" t="n">
        <v>1</v>
      </c>
      <c r="F36" s="18">
        <f>IFERROR(INDEX(Ingredients!$D$2:$D$200,MATCH(C36,Ingredients!$A$2:$A$200,0)),"")</f>
        <v/>
      </c>
      <c r="G36" s="19">
        <f>IFERROR(INDEX(Ingredients!$K$2:$K$200,MATCH(C36,Ingredients!$A$2:$A$200,0)),0)</f>
        <v/>
      </c>
      <c r="H36" s="14">
        <f>IFERROR(E36*G36,0)</f>
        <v/>
      </c>
      <c r="I36" s="20">
        <f>IFERROR(INDEX('Menu Items'!$M$2:$M$200,MATCH(A36,'Menu Items'!$A$2:$A$200,0)),0)</f>
        <v/>
      </c>
      <c r="J36" s="12">
        <f>IFERROR(E36*I36,0)</f>
        <v/>
      </c>
    </row>
    <row r="37">
      <c r="A37" s="6" t="inlineStr">
        <is>
          <t>MI-007</t>
        </is>
      </c>
      <c r="B37" s="18">
        <f>IFERROR(INDEX('Menu Items'!$B$2:$B$200,MATCH(A37,'Menu Items'!$A$2:$A$200,0)),"")</f>
        <v/>
      </c>
      <c r="C37" s="6" t="inlineStr">
        <is>
          <t>ING-012</t>
        </is>
      </c>
      <c r="D37" s="18">
        <f>IFERROR(INDEX(Ingredients!$B$2:$B$200,MATCH(C37,Ingredients!$A$2:$A$200,0)),"")</f>
        <v/>
      </c>
      <c r="E37" s="7" t="n">
        <v>4</v>
      </c>
      <c r="F37" s="18">
        <f>IFERROR(INDEX(Ingredients!$D$2:$D$200,MATCH(C37,Ingredients!$A$2:$A$200,0)),"")</f>
        <v/>
      </c>
      <c r="G37" s="19">
        <f>IFERROR(INDEX(Ingredients!$K$2:$K$200,MATCH(C37,Ingredients!$A$2:$A$200,0)),0)</f>
        <v/>
      </c>
      <c r="H37" s="14">
        <f>IFERROR(E37*G37,0)</f>
        <v/>
      </c>
      <c r="I37" s="20">
        <f>IFERROR(INDEX('Menu Items'!$M$2:$M$200,MATCH(A37,'Menu Items'!$A$2:$A$200,0)),0)</f>
        <v/>
      </c>
      <c r="J37" s="12">
        <f>IFERROR(E37*I37,0)</f>
        <v/>
      </c>
    </row>
    <row r="38">
      <c r="A38" s="6" t="inlineStr">
        <is>
          <t>MI-007</t>
        </is>
      </c>
      <c r="B38" s="18">
        <f>IFERROR(INDEX('Menu Items'!$B$2:$B$200,MATCH(A38,'Menu Items'!$A$2:$A$200,0)),"")</f>
        <v/>
      </c>
      <c r="C38" s="6" t="inlineStr">
        <is>
          <t>ING-009</t>
        </is>
      </c>
      <c r="D38" s="18">
        <f>IFERROR(INDEX(Ingredients!$B$2:$B$200,MATCH(C38,Ingredients!$A$2:$A$200,0)),"")</f>
        <v/>
      </c>
      <c r="E38" s="7" t="n">
        <v>4</v>
      </c>
      <c r="F38" s="18">
        <f>IFERROR(INDEX(Ingredients!$D$2:$D$200,MATCH(C38,Ingredients!$A$2:$A$200,0)),"")</f>
        <v/>
      </c>
      <c r="G38" s="19">
        <f>IFERROR(INDEX(Ingredients!$K$2:$K$200,MATCH(C38,Ingredients!$A$2:$A$200,0)),0)</f>
        <v/>
      </c>
      <c r="H38" s="14">
        <f>IFERROR(E38*G38,0)</f>
        <v/>
      </c>
      <c r="I38" s="20">
        <f>IFERROR(INDEX('Menu Items'!$M$2:$M$200,MATCH(A38,'Menu Items'!$A$2:$A$200,0)),0)</f>
        <v/>
      </c>
      <c r="J38" s="12">
        <f>IFERROR(E38*I38,0)</f>
        <v/>
      </c>
    </row>
    <row r="39">
      <c r="A39" s="6" t="inlineStr">
        <is>
          <t>MI-007</t>
        </is>
      </c>
      <c r="B39" s="18">
        <f>IFERROR(INDEX('Menu Items'!$B$2:$B$200,MATCH(A39,'Menu Items'!$A$2:$A$200,0)),"")</f>
        <v/>
      </c>
      <c r="C39" s="6" t="inlineStr">
        <is>
          <t>ING-007</t>
        </is>
      </c>
      <c r="D39" s="18">
        <f>IFERROR(INDEX(Ingredients!$B$2:$B$200,MATCH(C39,Ingredients!$A$2:$A$200,0)),"")</f>
        <v/>
      </c>
      <c r="E39" s="7" t="n">
        <v>1</v>
      </c>
      <c r="F39" s="18">
        <f>IFERROR(INDEX(Ingredients!$D$2:$D$200,MATCH(C39,Ingredients!$A$2:$A$200,0)),"")</f>
        <v/>
      </c>
      <c r="G39" s="19">
        <f>IFERROR(INDEX(Ingredients!$K$2:$K$200,MATCH(C39,Ingredients!$A$2:$A$200,0)),0)</f>
        <v/>
      </c>
      <c r="H39" s="14">
        <f>IFERROR(E39*G39,0)</f>
        <v/>
      </c>
      <c r="I39" s="20">
        <f>IFERROR(INDEX('Menu Items'!$M$2:$M$200,MATCH(A39,'Menu Items'!$A$2:$A$200,0)),0)</f>
        <v/>
      </c>
      <c r="J39" s="12">
        <f>IFERROR(E39*I39,0)</f>
        <v/>
      </c>
    </row>
    <row r="40">
      <c r="A40" s="6" t="inlineStr">
        <is>
          <t>MI-007</t>
        </is>
      </c>
      <c r="B40" s="18">
        <f>IFERROR(INDEX('Menu Items'!$B$2:$B$200,MATCH(A40,'Menu Items'!$A$2:$A$200,0)),"")</f>
        <v/>
      </c>
      <c r="C40" s="6" t="inlineStr">
        <is>
          <t>ING-004</t>
        </is>
      </c>
      <c r="D40" s="18">
        <f>IFERROR(INDEX(Ingredients!$B$2:$B$200,MATCH(C40,Ingredients!$A$2:$A$200,0)),"")</f>
        <v/>
      </c>
      <c r="E40" s="7" t="n">
        <v>8</v>
      </c>
      <c r="F40" s="18">
        <f>IFERROR(INDEX(Ingredients!$D$2:$D$200,MATCH(C40,Ingredients!$A$2:$A$200,0)),"")</f>
        <v/>
      </c>
      <c r="G40" s="19">
        <f>IFERROR(INDEX(Ingredients!$K$2:$K$200,MATCH(C40,Ingredients!$A$2:$A$200,0)),0)</f>
        <v/>
      </c>
      <c r="H40" s="14">
        <f>IFERROR(E40*G40,0)</f>
        <v/>
      </c>
      <c r="I40" s="20">
        <f>IFERROR(INDEX('Menu Items'!$M$2:$M$200,MATCH(A40,'Menu Items'!$A$2:$A$200,0)),0)</f>
        <v/>
      </c>
      <c r="J40" s="12">
        <f>IFERROR(E40*I40,0)</f>
        <v/>
      </c>
    </row>
    <row r="41">
      <c r="A41" s="6" t="inlineStr">
        <is>
          <t>MI-007</t>
        </is>
      </c>
      <c r="B41" s="18">
        <f>IFERROR(INDEX('Menu Items'!$B$2:$B$200,MATCH(A41,'Menu Items'!$A$2:$A$200,0)),"")</f>
        <v/>
      </c>
      <c r="C41" s="6" t="inlineStr">
        <is>
          <t>ING-029</t>
        </is>
      </c>
      <c r="D41" s="18">
        <f>IFERROR(INDEX(Ingredients!$B$2:$B$200,MATCH(C41,Ingredients!$A$2:$A$200,0)),"")</f>
        <v/>
      </c>
      <c r="E41" s="7" t="n">
        <v>4</v>
      </c>
      <c r="F41" s="18">
        <f>IFERROR(INDEX(Ingredients!$D$2:$D$200,MATCH(C41,Ingredients!$A$2:$A$200,0)),"")</f>
        <v/>
      </c>
      <c r="G41" s="19">
        <f>IFERROR(INDEX(Ingredients!$K$2:$K$200,MATCH(C41,Ingredients!$A$2:$A$200,0)),0)</f>
        <v/>
      </c>
      <c r="H41" s="14">
        <f>IFERROR(E41*G41,0)</f>
        <v/>
      </c>
      <c r="I41" s="20">
        <f>IFERROR(INDEX('Menu Items'!$M$2:$M$200,MATCH(A41,'Menu Items'!$A$2:$A$200,0)),0)</f>
        <v/>
      </c>
      <c r="J41" s="12">
        <f>IFERROR(E41*I41,0)</f>
        <v/>
      </c>
    </row>
    <row r="42">
      <c r="A42" s="6" t="inlineStr">
        <is>
          <t>MI-007</t>
        </is>
      </c>
      <c r="B42" s="18">
        <f>IFERROR(INDEX('Menu Items'!$B$2:$B$200,MATCH(A42,'Menu Items'!$A$2:$A$200,0)),"")</f>
        <v/>
      </c>
      <c r="C42" s="6" t="inlineStr">
        <is>
          <t>ING-031</t>
        </is>
      </c>
      <c r="D42" s="18">
        <f>IFERROR(INDEX(Ingredients!$B$2:$B$200,MATCH(C42,Ingredients!$A$2:$A$200,0)),"")</f>
        <v/>
      </c>
      <c r="E42" s="7" t="n">
        <v>1</v>
      </c>
      <c r="F42" s="18">
        <f>IFERROR(INDEX(Ingredients!$D$2:$D$200,MATCH(C42,Ingredients!$A$2:$A$200,0)),"")</f>
        <v/>
      </c>
      <c r="G42" s="19">
        <f>IFERROR(INDEX(Ingredients!$K$2:$K$200,MATCH(C42,Ingredients!$A$2:$A$200,0)),0)</f>
        <v/>
      </c>
      <c r="H42" s="14">
        <f>IFERROR(E42*G42,0)</f>
        <v/>
      </c>
      <c r="I42" s="20">
        <f>IFERROR(INDEX('Menu Items'!$M$2:$M$200,MATCH(A42,'Menu Items'!$A$2:$A$200,0)),0)</f>
        <v/>
      </c>
      <c r="J42" s="12">
        <f>IFERROR(E42*I42,0)</f>
        <v/>
      </c>
    </row>
    <row r="43">
      <c r="A43" s="6" t="inlineStr">
        <is>
          <t>MI-008</t>
        </is>
      </c>
      <c r="B43" s="18">
        <f>IFERROR(INDEX('Menu Items'!$B$2:$B$200,MATCH(A43,'Menu Items'!$A$2:$A$200,0)),"")</f>
        <v/>
      </c>
      <c r="C43" s="6" t="inlineStr">
        <is>
          <t>ING-011</t>
        </is>
      </c>
      <c r="D43" s="18">
        <f>IFERROR(INDEX(Ingredients!$B$2:$B$200,MATCH(C43,Ingredients!$A$2:$A$200,0)),"")</f>
        <v/>
      </c>
      <c r="E43" s="7" t="n">
        <v>4</v>
      </c>
      <c r="F43" s="18">
        <f>IFERROR(INDEX(Ingredients!$D$2:$D$200,MATCH(C43,Ingredients!$A$2:$A$200,0)),"")</f>
        <v/>
      </c>
      <c r="G43" s="19">
        <f>IFERROR(INDEX(Ingredients!$K$2:$K$200,MATCH(C43,Ingredients!$A$2:$A$200,0)),0)</f>
        <v/>
      </c>
      <c r="H43" s="14">
        <f>IFERROR(E43*G43,0)</f>
        <v/>
      </c>
      <c r="I43" s="20">
        <f>IFERROR(INDEX('Menu Items'!$M$2:$M$200,MATCH(A43,'Menu Items'!$A$2:$A$200,0)),0)</f>
        <v/>
      </c>
      <c r="J43" s="12">
        <f>IFERROR(E43*I43,0)</f>
        <v/>
      </c>
    </row>
    <row r="44">
      <c r="A44" s="6" t="inlineStr">
        <is>
          <t>MI-008</t>
        </is>
      </c>
      <c r="B44" s="18">
        <f>IFERROR(INDEX('Menu Items'!$B$2:$B$200,MATCH(A44,'Menu Items'!$A$2:$A$200,0)),"")</f>
        <v/>
      </c>
      <c r="C44" s="6" t="inlineStr">
        <is>
          <t>ING-008</t>
        </is>
      </c>
      <c r="D44" s="18">
        <f>IFERROR(INDEX(Ingredients!$B$2:$B$200,MATCH(C44,Ingredients!$A$2:$A$200,0)),"")</f>
        <v/>
      </c>
      <c r="E44" s="7" t="n">
        <v>4</v>
      </c>
      <c r="F44" s="18">
        <f>IFERROR(INDEX(Ingredients!$D$2:$D$200,MATCH(C44,Ingredients!$A$2:$A$200,0)),"")</f>
        <v/>
      </c>
      <c r="G44" s="19">
        <f>IFERROR(INDEX(Ingredients!$K$2:$K$200,MATCH(C44,Ingredients!$A$2:$A$200,0)),0)</f>
        <v/>
      </c>
      <c r="H44" s="14">
        <f>IFERROR(E44*G44,0)</f>
        <v/>
      </c>
      <c r="I44" s="20">
        <f>IFERROR(INDEX('Menu Items'!$M$2:$M$200,MATCH(A44,'Menu Items'!$A$2:$A$200,0)),0)</f>
        <v/>
      </c>
      <c r="J44" s="12">
        <f>IFERROR(E44*I44,0)</f>
        <v/>
      </c>
    </row>
    <row r="45">
      <c r="A45" s="6" t="inlineStr">
        <is>
          <t>MI-008</t>
        </is>
      </c>
      <c r="B45" s="18">
        <f>IFERROR(INDEX('Menu Items'!$B$2:$B$200,MATCH(A45,'Menu Items'!$A$2:$A$200,0)),"")</f>
        <v/>
      </c>
      <c r="C45" s="6" t="inlineStr">
        <is>
          <t>ING-007</t>
        </is>
      </c>
      <c r="D45" s="18">
        <f>IFERROR(INDEX(Ingredients!$B$2:$B$200,MATCH(C45,Ingredients!$A$2:$A$200,0)),"")</f>
        <v/>
      </c>
      <c r="E45" s="7" t="n">
        <v>1</v>
      </c>
      <c r="F45" s="18">
        <f>IFERROR(INDEX(Ingredients!$D$2:$D$200,MATCH(C45,Ingredients!$A$2:$A$200,0)),"")</f>
        <v/>
      </c>
      <c r="G45" s="19">
        <f>IFERROR(INDEX(Ingredients!$K$2:$K$200,MATCH(C45,Ingredients!$A$2:$A$200,0)),0)</f>
        <v/>
      </c>
      <c r="H45" s="14">
        <f>IFERROR(E45*G45,0)</f>
        <v/>
      </c>
      <c r="I45" s="20">
        <f>IFERROR(INDEX('Menu Items'!$M$2:$M$200,MATCH(A45,'Menu Items'!$A$2:$A$200,0)),0)</f>
        <v/>
      </c>
      <c r="J45" s="12">
        <f>IFERROR(E45*I45,0)</f>
        <v/>
      </c>
    </row>
    <row r="46">
      <c r="A46" s="6" t="inlineStr">
        <is>
          <t>MI-008</t>
        </is>
      </c>
      <c r="B46" s="18">
        <f>IFERROR(INDEX('Menu Items'!$B$2:$B$200,MATCH(A46,'Menu Items'!$A$2:$A$200,0)),"")</f>
        <v/>
      </c>
      <c r="C46" s="6" t="inlineStr">
        <is>
          <t>ING-005</t>
        </is>
      </c>
      <c r="D46" s="18">
        <f>IFERROR(INDEX(Ingredients!$B$2:$B$200,MATCH(C46,Ingredients!$A$2:$A$200,0)),"")</f>
        <v/>
      </c>
      <c r="E46" s="7" t="n">
        <v>8</v>
      </c>
      <c r="F46" s="18">
        <f>IFERROR(INDEX(Ingredients!$D$2:$D$200,MATCH(C46,Ingredients!$A$2:$A$200,0)),"")</f>
        <v/>
      </c>
      <c r="G46" s="19">
        <f>IFERROR(INDEX(Ingredients!$K$2:$K$200,MATCH(C46,Ingredients!$A$2:$A$200,0)),0)</f>
        <v/>
      </c>
      <c r="H46" s="14">
        <f>IFERROR(E46*G46,0)</f>
        <v/>
      </c>
      <c r="I46" s="20">
        <f>IFERROR(INDEX('Menu Items'!$M$2:$M$200,MATCH(A46,'Menu Items'!$A$2:$A$200,0)),0)</f>
        <v/>
      </c>
      <c r="J46" s="12">
        <f>IFERROR(E46*I46,0)</f>
        <v/>
      </c>
    </row>
    <row r="47">
      <c r="A47" s="6" t="inlineStr">
        <is>
          <t>MI-008</t>
        </is>
      </c>
      <c r="B47" s="18">
        <f>IFERROR(INDEX('Menu Items'!$B$2:$B$200,MATCH(A47,'Menu Items'!$A$2:$A$200,0)),"")</f>
        <v/>
      </c>
      <c r="C47" s="6" t="inlineStr">
        <is>
          <t>ING-026</t>
        </is>
      </c>
      <c r="D47" s="18">
        <f>IFERROR(INDEX(Ingredients!$B$2:$B$200,MATCH(C47,Ingredients!$A$2:$A$200,0)),"")</f>
        <v/>
      </c>
      <c r="E47" s="7" t="n">
        <v>1</v>
      </c>
      <c r="F47" s="18">
        <f>IFERROR(INDEX(Ingredients!$D$2:$D$200,MATCH(C47,Ingredients!$A$2:$A$200,0)),"")</f>
        <v/>
      </c>
      <c r="G47" s="19">
        <f>IFERROR(INDEX(Ingredients!$K$2:$K$200,MATCH(C47,Ingredients!$A$2:$A$200,0)),0)</f>
        <v/>
      </c>
      <c r="H47" s="14">
        <f>IFERROR(E47*G47,0)</f>
        <v/>
      </c>
      <c r="I47" s="20">
        <f>IFERROR(INDEX('Menu Items'!$M$2:$M$200,MATCH(A47,'Menu Items'!$A$2:$A$200,0)),0)</f>
        <v/>
      </c>
      <c r="J47" s="12">
        <f>IFERROR(E47*I47,0)</f>
        <v/>
      </c>
    </row>
    <row r="48">
      <c r="A48" s="6" t="inlineStr">
        <is>
          <t>MI-008</t>
        </is>
      </c>
      <c r="B48" s="18">
        <f>IFERROR(INDEX('Menu Items'!$B$2:$B$200,MATCH(A48,'Menu Items'!$A$2:$A$200,0)),"")</f>
        <v/>
      </c>
      <c r="C48" s="6" t="inlineStr">
        <is>
          <t>ING-029</t>
        </is>
      </c>
      <c r="D48" s="18">
        <f>IFERROR(INDEX(Ingredients!$B$2:$B$200,MATCH(C48,Ingredients!$A$2:$A$200,0)),"")</f>
        <v/>
      </c>
      <c r="E48" s="7" t="n">
        <v>3</v>
      </c>
      <c r="F48" s="18">
        <f>IFERROR(INDEX(Ingredients!$D$2:$D$200,MATCH(C48,Ingredients!$A$2:$A$200,0)),"")</f>
        <v/>
      </c>
      <c r="G48" s="19">
        <f>IFERROR(INDEX(Ingredients!$K$2:$K$200,MATCH(C48,Ingredients!$A$2:$A$200,0)),0)</f>
        <v/>
      </c>
      <c r="H48" s="14">
        <f>IFERROR(E48*G48,0)</f>
        <v/>
      </c>
      <c r="I48" s="20">
        <f>IFERROR(INDEX('Menu Items'!$M$2:$M$200,MATCH(A48,'Menu Items'!$A$2:$A$200,0)),0)</f>
        <v/>
      </c>
      <c r="J48" s="12">
        <f>IFERROR(E48*I48,0)</f>
        <v/>
      </c>
    </row>
    <row r="49">
      <c r="A49" s="6" t="inlineStr">
        <is>
          <t>MI-008</t>
        </is>
      </c>
      <c r="B49" s="18">
        <f>IFERROR(INDEX('Menu Items'!$B$2:$B$200,MATCH(A49,'Menu Items'!$A$2:$A$200,0)),"")</f>
        <v/>
      </c>
      <c r="C49" s="6" t="inlineStr">
        <is>
          <t>ING-031</t>
        </is>
      </c>
      <c r="D49" s="18">
        <f>IFERROR(INDEX(Ingredients!$B$2:$B$200,MATCH(C49,Ingredients!$A$2:$A$200,0)),"")</f>
        <v/>
      </c>
      <c r="E49" s="7" t="n">
        <v>1</v>
      </c>
      <c r="F49" s="18">
        <f>IFERROR(INDEX(Ingredients!$D$2:$D$200,MATCH(C49,Ingredients!$A$2:$A$200,0)),"")</f>
        <v/>
      </c>
      <c r="G49" s="19">
        <f>IFERROR(INDEX(Ingredients!$K$2:$K$200,MATCH(C49,Ingredients!$A$2:$A$200,0)),0)</f>
        <v/>
      </c>
      <c r="H49" s="14">
        <f>IFERROR(E49*G49,0)</f>
        <v/>
      </c>
      <c r="I49" s="20">
        <f>IFERROR(INDEX('Menu Items'!$M$2:$M$200,MATCH(A49,'Menu Items'!$A$2:$A$200,0)),0)</f>
        <v/>
      </c>
      <c r="J49" s="12">
        <f>IFERROR(E49*I49,0)</f>
        <v/>
      </c>
    </row>
    <row r="50">
      <c r="A50" s="6" t="inlineStr">
        <is>
          <t>MI-009</t>
        </is>
      </c>
      <c r="B50" s="18">
        <f>IFERROR(INDEX('Menu Items'!$B$2:$B$200,MATCH(A50,'Menu Items'!$A$2:$A$200,0)),"")</f>
        <v/>
      </c>
      <c r="C50" s="6" t="inlineStr">
        <is>
          <t>ING-027</t>
        </is>
      </c>
      <c r="D50" s="18">
        <f>IFERROR(INDEX(Ingredients!$B$2:$B$200,MATCH(C50,Ingredients!$A$2:$A$200,0)),"")</f>
        <v/>
      </c>
      <c r="E50" s="7" t="n">
        <v>2</v>
      </c>
      <c r="F50" s="18">
        <f>IFERROR(INDEX(Ingredients!$D$2:$D$200,MATCH(C50,Ingredients!$A$2:$A$200,0)),"")</f>
        <v/>
      </c>
      <c r="G50" s="19">
        <f>IFERROR(INDEX(Ingredients!$K$2:$K$200,MATCH(C50,Ingredients!$A$2:$A$200,0)),0)</f>
        <v/>
      </c>
      <c r="H50" s="14">
        <f>IFERROR(E50*G50,0)</f>
        <v/>
      </c>
      <c r="I50" s="20">
        <f>IFERROR(INDEX('Menu Items'!$M$2:$M$200,MATCH(A50,'Menu Items'!$A$2:$A$200,0)),0)</f>
        <v/>
      </c>
      <c r="J50" s="12">
        <f>IFERROR(E50*I50,0)</f>
        <v/>
      </c>
    </row>
    <row r="51">
      <c r="A51" s="6" t="inlineStr">
        <is>
          <t>MI-009</t>
        </is>
      </c>
      <c r="B51" s="18">
        <f>IFERROR(INDEX('Menu Items'!$B$2:$B$200,MATCH(A51,'Menu Items'!$A$2:$A$200,0)),"")</f>
        <v/>
      </c>
      <c r="C51" s="6" t="inlineStr">
        <is>
          <t>ING-007</t>
        </is>
      </c>
      <c r="D51" s="18">
        <f>IFERROR(INDEX(Ingredients!$B$2:$B$200,MATCH(C51,Ingredients!$A$2:$A$200,0)),"")</f>
        <v/>
      </c>
      <c r="E51" s="7" t="n">
        <v>1.5</v>
      </c>
      <c r="F51" s="18">
        <f>IFERROR(INDEX(Ingredients!$D$2:$D$200,MATCH(C51,Ingredients!$A$2:$A$200,0)),"")</f>
        <v/>
      </c>
      <c r="G51" s="19">
        <f>IFERROR(INDEX(Ingredients!$K$2:$K$200,MATCH(C51,Ingredients!$A$2:$A$200,0)),0)</f>
        <v/>
      </c>
      <c r="H51" s="14">
        <f>IFERROR(E51*G51,0)</f>
        <v/>
      </c>
      <c r="I51" s="20">
        <f>IFERROR(INDEX('Menu Items'!$M$2:$M$200,MATCH(A51,'Menu Items'!$A$2:$A$200,0)),0)</f>
        <v/>
      </c>
      <c r="J51" s="12">
        <f>IFERROR(E51*I51,0)</f>
        <v/>
      </c>
    </row>
    <row r="52">
      <c r="A52" s="6" t="inlineStr">
        <is>
          <t>MI-009</t>
        </is>
      </c>
      <c r="B52" s="18">
        <f>IFERROR(INDEX('Menu Items'!$B$2:$B$200,MATCH(A52,'Menu Items'!$A$2:$A$200,0)),"")</f>
        <v/>
      </c>
      <c r="C52" s="6" t="inlineStr">
        <is>
          <t>ING-025</t>
        </is>
      </c>
      <c r="D52" s="18">
        <f>IFERROR(INDEX(Ingredients!$B$2:$B$200,MATCH(C52,Ingredients!$A$2:$A$200,0)),"")</f>
        <v/>
      </c>
      <c r="E52" s="7" t="n">
        <v>1</v>
      </c>
      <c r="F52" s="18">
        <f>IFERROR(INDEX(Ingredients!$D$2:$D$200,MATCH(C52,Ingredients!$A$2:$A$200,0)),"")</f>
        <v/>
      </c>
      <c r="G52" s="19">
        <f>IFERROR(INDEX(Ingredients!$K$2:$K$200,MATCH(C52,Ingredients!$A$2:$A$200,0)),0)</f>
        <v/>
      </c>
      <c r="H52" s="14">
        <f>IFERROR(E52*G52,0)</f>
        <v/>
      </c>
      <c r="I52" s="20">
        <f>IFERROR(INDEX('Menu Items'!$M$2:$M$200,MATCH(A52,'Menu Items'!$A$2:$A$200,0)),0)</f>
        <v/>
      </c>
      <c r="J52" s="12">
        <f>IFERROR(E52*I52,0)</f>
        <v/>
      </c>
    </row>
    <row r="53">
      <c r="A53" s="6" t="inlineStr">
        <is>
          <t>MI-009</t>
        </is>
      </c>
      <c r="B53" s="18">
        <f>IFERROR(INDEX('Menu Items'!$B$2:$B$200,MATCH(A53,'Menu Items'!$A$2:$A$200,0)),"")</f>
        <v/>
      </c>
      <c r="C53" s="6" t="inlineStr">
        <is>
          <t>ING-005</t>
        </is>
      </c>
      <c r="D53" s="18">
        <f>IFERROR(INDEX(Ingredients!$B$2:$B$200,MATCH(C53,Ingredients!$A$2:$A$200,0)),"")</f>
        <v/>
      </c>
      <c r="E53" s="7" t="n">
        <v>10</v>
      </c>
      <c r="F53" s="18">
        <f>IFERROR(INDEX(Ingredients!$D$2:$D$200,MATCH(C53,Ingredients!$A$2:$A$200,0)),"")</f>
        <v/>
      </c>
      <c r="G53" s="19">
        <f>IFERROR(INDEX(Ingredients!$K$2:$K$200,MATCH(C53,Ingredients!$A$2:$A$200,0)),0)</f>
        <v/>
      </c>
      <c r="H53" s="14">
        <f>IFERROR(E53*G53,0)</f>
        <v/>
      </c>
      <c r="I53" s="20">
        <f>IFERROR(INDEX('Menu Items'!$M$2:$M$200,MATCH(A53,'Menu Items'!$A$2:$A$200,0)),0)</f>
        <v/>
      </c>
      <c r="J53" s="12">
        <f>IFERROR(E53*I53,0)</f>
        <v/>
      </c>
    </row>
    <row r="54">
      <c r="A54" s="6" t="inlineStr">
        <is>
          <t>MI-009</t>
        </is>
      </c>
      <c r="B54" s="18">
        <f>IFERROR(INDEX('Menu Items'!$B$2:$B$200,MATCH(A54,'Menu Items'!$A$2:$A$200,0)),"")</f>
        <v/>
      </c>
      <c r="C54" s="6" t="inlineStr">
        <is>
          <t>ING-023</t>
        </is>
      </c>
      <c r="D54" s="18">
        <f>IFERROR(INDEX(Ingredients!$B$2:$B$200,MATCH(C54,Ingredients!$A$2:$A$200,0)),"")</f>
        <v/>
      </c>
      <c r="E54" s="7" t="n">
        <v>0.5</v>
      </c>
      <c r="F54" s="18">
        <f>IFERROR(INDEX(Ingredients!$D$2:$D$200,MATCH(C54,Ingredients!$A$2:$A$200,0)),"")</f>
        <v/>
      </c>
      <c r="G54" s="19">
        <f>IFERROR(INDEX(Ingredients!$K$2:$K$200,MATCH(C54,Ingredients!$A$2:$A$200,0)),0)</f>
        <v/>
      </c>
      <c r="H54" s="14">
        <f>IFERROR(E54*G54,0)</f>
        <v/>
      </c>
      <c r="I54" s="20">
        <f>IFERROR(INDEX('Menu Items'!$M$2:$M$200,MATCH(A54,'Menu Items'!$A$2:$A$200,0)),0)</f>
        <v/>
      </c>
      <c r="J54" s="12">
        <f>IFERROR(E54*I54,0)</f>
        <v/>
      </c>
    </row>
    <row r="55">
      <c r="A55" s="6" t="inlineStr">
        <is>
          <t>MI-009</t>
        </is>
      </c>
      <c r="B55" s="18">
        <f>IFERROR(INDEX('Menu Items'!$B$2:$B$200,MATCH(A55,'Menu Items'!$A$2:$A$200,0)),"")</f>
        <v/>
      </c>
      <c r="C55" s="6" t="inlineStr">
        <is>
          <t>ING-029</t>
        </is>
      </c>
      <c r="D55" s="18">
        <f>IFERROR(INDEX(Ingredients!$B$2:$B$200,MATCH(C55,Ingredients!$A$2:$A$200,0)),"")</f>
        <v/>
      </c>
      <c r="E55" s="7" t="n">
        <v>4</v>
      </c>
      <c r="F55" s="18">
        <f>IFERROR(INDEX(Ingredients!$D$2:$D$200,MATCH(C55,Ingredients!$A$2:$A$200,0)),"")</f>
        <v/>
      </c>
      <c r="G55" s="19">
        <f>IFERROR(INDEX(Ingredients!$K$2:$K$200,MATCH(C55,Ingredients!$A$2:$A$200,0)),0)</f>
        <v/>
      </c>
      <c r="H55" s="14">
        <f>IFERROR(E55*G55,0)</f>
        <v/>
      </c>
      <c r="I55" s="20">
        <f>IFERROR(INDEX('Menu Items'!$M$2:$M$200,MATCH(A55,'Menu Items'!$A$2:$A$200,0)),0)</f>
        <v/>
      </c>
      <c r="J55" s="12">
        <f>IFERROR(E55*I55,0)</f>
        <v/>
      </c>
    </row>
    <row r="56">
      <c r="A56" s="6" t="inlineStr">
        <is>
          <t>MI-009</t>
        </is>
      </c>
      <c r="B56" s="18">
        <f>IFERROR(INDEX('Menu Items'!$B$2:$B$200,MATCH(A56,'Menu Items'!$A$2:$A$200,0)),"")</f>
        <v/>
      </c>
      <c r="C56" s="6" t="inlineStr">
        <is>
          <t>ING-031</t>
        </is>
      </c>
      <c r="D56" s="18">
        <f>IFERROR(INDEX(Ingredients!$B$2:$B$200,MATCH(C56,Ingredients!$A$2:$A$200,0)),"")</f>
        <v/>
      </c>
      <c r="E56" s="7" t="n">
        <v>1</v>
      </c>
      <c r="F56" s="18">
        <f>IFERROR(INDEX(Ingredients!$D$2:$D$200,MATCH(C56,Ingredients!$A$2:$A$200,0)),"")</f>
        <v/>
      </c>
      <c r="G56" s="19">
        <f>IFERROR(INDEX(Ingredients!$K$2:$K$200,MATCH(C56,Ingredients!$A$2:$A$200,0)),0)</f>
        <v/>
      </c>
      <c r="H56" s="14">
        <f>IFERROR(E56*G56,0)</f>
        <v/>
      </c>
      <c r="I56" s="20">
        <f>IFERROR(INDEX('Menu Items'!$M$2:$M$200,MATCH(A56,'Menu Items'!$A$2:$A$200,0)),0)</f>
        <v/>
      </c>
      <c r="J56" s="12">
        <f>IFERROR(E56*I56,0)</f>
        <v/>
      </c>
    </row>
    <row r="57">
      <c r="A57" s="6" t="inlineStr">
        <is>
          <t>MI-010</t>
        </is>
      </c>
      <c r="B57" s="18">
        <f>IFERROR(INDEX('Menu Items'!$B$2:$B$200,MATCH(A57,'Menu Items'!$A$2:$A$200,0)),"")</f>
        <v/>
      </c>
      <c r="C57" s="6" t="inlineStr">
        <is>
          <t>ING-014</t>
        </is>
      </c>
      <c r="D57" s="18">
        <f>IFERROR(INDEX(Ingredients!$B$2:$B$200,MATCH(C57,Ingredients!$A$2:$A$200,0)),"")</f>
        <v/>
      </c>
      <c r="E57" s="7" t="n">
        <v>1.5</v>
      </c>
      <c r="F57" s="18">
        <f>IFERROR(INDEX(Ingredients!$D$2:$D$200,MATCH(C57,Ingredients!$A$2:$A$200,0)),"")</f>
        <v/>
      </c>
      <c r="G57" s="19">
        <f>IFERROR(INDEX(Ingredients!$K$2:$K$200,MATCH(C57,Ingredients!$A$2:$A$200,0)),0)</f>
        <v/>
      </c>
      <c r="H57" s="14">
        <f>IFERROR(E57*G57,0)</f>
        <v/>
      </c>
      <c r="I57" s="20">
        <f>IFERROR(INDEX('Menu Items'!$M$2:$M$200,MATCH(A57,'Menu Items'!$A$2:$A$200,0)),0)</f>
        <v/>
      </c>
      <c r="J57" s="12">
        <f>IFERROR(E57*I57,0)</f>
        <v/>
      </c>
    </row>
    <row r="58">
      <c r="A58" s="6" t="inlineStr">
        <is>
          <t>MI-010</t>
        </is>
      </c>
      <c r="B58" s="18">
        <f>IFERROR(INDEX('Menu Items'!$B$2:$B$200,MATCH(A58,'Menu Items'!$A$2:$A$200,0)),"")</f>
        <v/>
      </c>
      <c r="C58" s="6" t="inlineStr">
        <is>
          <t>ING-007</t>
        </is>
      </c>
      <c r="D58" s="18">
        <f>IFERROR(INDEX(Ingredients!$B$2:$B$200,MATCH(C58,Ingredients!$A$2:$A$200,0)),"")</f>
        <v/>
      </c>
      <c r="E58" s="7" t="n">
        <v>1</v>
      </c>
      <c r="F58" s="18">
        <f>IFERROR(INDEX(Ingredients!$D$2:$D$200,MATCH(C58,Ingredients!$A$2:$A$200,0)),"")</f>
        <v/>
      </c>
      <c r="G58" s="19">
        <f>IFERROR(INDEX(Ingredients!$K$2:$K$200,MATCH(C58,Ingredients!$A$2:$A$200,0)),0)</f>
        <v/>
      </c>
      <c r="H58" s="14">
        <f>IFERROR(E58*G58,0)</f>
        <v/>
      </c>
      <c r="I58" s="20">
        <f>IFERROR(INDEX('Menu Items'!$M$2:$M$200,MATCH(A58,'Menu Items'!$A$2:$A$200,0)),0)</f>
        <v/>
      </c>
      <c r="J58" s="12">
        <f>IFERROR(E58*I58,0)</f>
        <v/>
      </c>
    </row>
    <row r="59">
      <c r="A59" s="6" t="inlineStr">
        <is>
          <t>MI-010</t>
        </is>
      </c>
      <c r="B59" s="18">
        <f>IFERROR(INDEX('Menu Items'!$B$2:$B$200,MATCH(A59,'Menu Items'!$A$2:$A$200,0)),"")</f>
        <v/>
      </c>
      <c r="C59" s="6" t="inlineStr">
        <is>
          <t>ING-009</t>
        </is>
      </c>
      <c r="D59" s="18">
        <f>IFERROR(INDEX(Ingredients!$B$2:$B$200,MATCH(C59,Ingredients!$A$2:$A$200,0)),"")</f>
        <v/>
      </c>
      <c r="E59" s="7" t="n">
        <v>3</v>
      </c>
      <c r="F59" s="18">
        <f>IFERROR(INDEX(Ingredients!$D$2:$D$200,MATCH(C59,Ingredients!$A$2:$A$200,0)),"")</f>
        <v/>
      </c>
      <c r="G59" s="19">
        <f>IFERROR(INDEX(Ingredients!$K$2:$K$200,MATCH(C59,Ingredients!$A$2:$A$200,0)),0)</f>
        <v/>
      </c>
      <c r="H59" s="14">
        <f>IFERROR(E59*G59,0)</f>
        <v/>
      </c>
      <c r="I59" s="20">
        <f>IFERROR(INDEX('Menu Items'!$M$2:$M$200,MATCH(A59,'Menu Items'!$A$2:$A$200,0)),0)</f>
        <v/>
      </c>
      <c r="J59" s="12">
        <f>IFERROR(E59*I59,0)</f>
        <v/>
      </c>
    </row>
    <row r="60">
      <c r="A60" s="6" t="inlineStr">
        <is>
          <t>MI-010</t>
        </is>
      </c>
      <c r="B60" s="18">
        <f>IFERROR(INDEX('Menu Items'!$B$2:$B$200,MATCH(A60,'Menu Items'!$A$2:$A$200,0)),"")</f>
        <v/>
      </c>
      <c r="C60" s="6" t="inlineStr">
        <is>
          <t>ING-025</t>
        </is>
      </c>
      <c r="D60" s="18">
        <f>IFERROR(INDEX(Ingredients!$B$2:$B$200,MATCH(C60,Ingredients!$A$2:$A$200,0)),"")</f>
        <v/>
      </c>
      <c r="E60" s="7" t="n">
        <v>1</v>
      </c>
      <c r="F60" s="18">
        <f>IFERROR(INDEX(Ingredients!$D$2:$D$200,MATCH(C60,Ingredients!$A$2:$A$200,0)),"")</f>
        <v/>
      </c>
      <c r="G60" s="19">
        <f>IFERROR(INDEX(Ingredients!$K$2:$K$200,MATCH(C60,Ingredients!$A$2:$A$200,0)),0)</f>
        <v/>
      </c>
      <c r="H60" s="14">
        <f>IFERROR(E60*G60,0)</f>
        <v/>
      </c>
      <c r="I60" s="20">
        <f>IFERROR(INDEX('Menu Items'!$M$2:$M$200,MATCH(A60,'Menu Items'!$A$2:$A$200,0)),0)</f>
        <v/>
      </c>
      <c r="J60" s="12">
        <f>IFERROR(E60*I60,0)</f>
        <v/>
      </c>
    </row>
    <row r="61">
      <c r="A61" s="6" t="inlineStr">
        <is>
          <t>MI-010</t>
        </is>
      </c>
      <c r="B61" s="18">
        <f>IFERROR(INDEX('Menu Items'!$B$2:$B$200,MATCH(A61,'Menu Items'!$A$2:$A$200,0)),"")</f>
        <v/>
      </c>
      <c r="C61" s="6" t="inlineStr">
        <is>
          <t>ING-005</t>
        </is>
      </c>
      <c r="D61" s="18">
        <f>IFERROR(INDEX(Ingredients!$B$2:$B$200,MATCH(C61,Ingredients!$A$2:$A$200,0)),"")</f>
        <v/>
      </c>
      <c r="E61" s="7" t="n">
        <v>10</v>
      </c>
      <c r="F61" s="18">
        <f>IFERROR(INDEX(Ingredients!$D$2:$D$200,MATCH(C61,Ingredients!$A$2:$A$200,0)),"")</f>
        <v/>
      </c>
      <c r="G61" s="19">
        <f>IFERROR(INDEX(Ingredients!$K$2:$K$200,MATCH(C61,Ingredients!$A$2:$A$200,0)),0)</f>
        <v/>
      </c>
      <c r="H61" s="14">
        <f>IFERROR(E61*G61,0)</f>
        <v/>
      </c>
      <c r="I61" s="20">
        <f>IFERROR(INDEX('Menu Items'!$M$2:$M$200,MATCH(A61,'Menu Items'!$A$2:$A$200,0)),0)</f>
        <v/>
      </c>
      <c r="J61" s="12">
        <f>IFERROR(E61*I61,0)</f>
        <v/>
      </c>
    </row>
    <row r="62">
      <c r="A62" s="6" t="inlineStr">
        <is>
          <t>MI-010</t>
        </is>
      </c>
      <c r="B62" s="18">
        <f>IFERROR(INDEX('Menu Items'!$B$2:$B$200,MATCH(A62,'Menu Items'!$A$2:$A$200,0)),"")</f>
        <v/>
      </c>
      <c r="C62" s="6" t="inlineStr">
        <is>
          <t>ING-029</t>
        </is>
      </c>
      <c r="D62" s="18">
        <f>IFERROR(INDEX(Ingredients!$B$2:$B$200,MATCH(C62,Ingredients!$A$2:$A$200,0)),"")</f>
        <v/>
      </c>
      <c r="E62" s="7" t="n">
        <v>3</v>
      </c>
      <c r="F62" s="18">
        <f>IFERROR(INDEX(Ingredients!$D$2:$D$200,MATCH(C62,Ingredients!$A$2:$A$200,0)),"")</f>
        <v/>
      </c>
      <c r="G62" s="19">
        <f>IFERROR(INDEX(Ingredients!$K$2:$K$200,MATCH(C62,Ingredients!$A$2:$A$200,0)),0)</f>
        <v/>
      </c>
      <c r="H62" s="14">
        <f>IFERROR(E62*G62,0)</f>
        <v/>
      </c>
      <c r="I62" s="20">
        <f>IFERROR(INDEX('Menu Items'!$M$2:$M$200,MATCH(A62,'Menu Items'!$A$2:$A$200,0)),0)</f>
        <v/>
      </c>
      <c r="J62" s="12">
        <f>IFERROR(E62*I62,0)</f>
        <v/>
      </c>
    </row>
    <row r="63">
      <c r="A63" s="6" t="inlineStr">
        <is>
          <t>MI-010</t>
        </is>
      </c>
      <c r="B63" s="18">
        <f>IFERROR(INDEX('Menu Items'!$B$2:$B$200,MATCH(A63,'Menu Items'!$A$2:$A$200,0)),"")</f>
        <v/>
      </c>
      <c r="C63" s="6" t="inlineStr">
        <is>
          <t>ING-031</t>
        </is>
      </c>
      <c r="D63" s="18">
        <f>IFERROR(INDEX(Ingredients!$B$2:$B$200,MATCH(C63,Ingredients!$A$2:$A$200,0)),"")</f>
        <v/>
      </c>
      <c r="E63" s="7" t="n">
        <v>1</v>
      </c>
      <c r="F63" s="18">
        <f>IFERROR(INDEX(Ingredients!$D$2:$D$200,MATCH(C63,Ingredients!$A$2:$A$200,0)),"")</f>
        <v/>
      </c>
      <c r="G63" s="19">
        <f>IFERROR(INDEX(Ingredients!$K$2:$K$200,MATCH(C63,Ingredients!$A$2:$A$200,0)),0)</f>
        <v/>
      </c>
      <c r="H63" s="14">
        <f>IFERROR(E63*G63,0)</f>
        <v/>
      </c>
      <c r="I63" s="20">
        <f>IFERROR(INDEX('Menu Items'!$M$2:$M$200,MATCH(A63,'Menu Items'!$A$2:$A$200,0)),0)</f>
        <v/>
      </c>
      <c r="J63" s="12">
        <f>IFERROR(E63*I63,0)</f>
        <v/>
      </c>
    </row>
    <row r="64">
      <c r="A64" s="6" t="inlineStr">
        <is>
          <t>MI-011</t>
        </is>
      </c>
      <c r="B64" s="18">
        <f>IFERROR(INDEX('Menu Items'!$B$2:$B$200,MATCH(A64,'Menu Items'!$A$2:$A$200,0)),"")</f>
        <v/>
      </c>
      <c r="C64" s="6" t="inlineStr">
        <is>
          <t>ING-013</t>
        </is>
      </c>
      <c r="D64" s="18">
        <f>IFERROR(INDEX(Ingredients!$B$2:$B$200,MATCH(C64,Ingredients!$A$2:$A$200,0)),"")</f>
        <v/>
      </c>
      <c r="E64" s="7" t="n">
        <v>1.5</v>
      </c>
      <c r="F64" s="18">
        <f>IFERROR(INDEX(Ingredients!$D$2:$D$200,MATCH(C64,Ingredients!$A$2:$A$200,0)),"")</f>
        <v/>
      </c>
      <c r="G64" s="19">
        <f>IFERROR(INDEX(Ingredients!$K$2:$K$200,MATCH(C64,Ingredients!$A$2:$A$200,0)),0)</f>
        <v/>
      </c>
      <c r="H64" s="14">
        <f>IFERROR(E64*G64,0)</f>
        <v/>
      </c>
      <c r="I64" s="20">
        <f>IFERROR(INDEX('Menu Items'!$M$2:$M$200,MATCH(A64,'Menu Items'!$A$2:$A$200,0)),0)</f>
        <v/>
      </c>
      <c r="J64" s="12">
        <f>IFERROR(E64*I64,0)</f>
        <v/>
      </c>
    </row>
    <row r="65">
      <c r="A65" s="6" t="inlineStr">
        <is>
          <t>MI-011</t>
        </is>
      </c>
      <c r="B65" s="18">
        <f>IFERROR(INDEX('Menu Items'!$B$2:$B$200,MATCH(A65,'Menu Items'!$A$2:$A$200,0)),"")</f>
        <v/>
      </c>
      <c r="C65" s="6" t="inlineStr">
        <is>
          <t>ING-022</t>
        </is>
      </c>
      <c r="D65" s="18">
        <f>IFERROR(INDEX(Ingredients!$B$2:$B$200,MATCH(C65,Ingredients!$A$2:$A$200,0)),"")</f>
        <v/>
      </c>
      <c r="E65" s="7" t="n">
        <v>0.25</v>
      </c>
      <c r="F65" s="18">
        <f>IFERROR(INDEX(Ingredients!$D$2:$D$200,MATCH(C65,Ingredients!$A$2:$A$200,0)),"")</f>
        <v/>
      </c>
      <c r="G65" s="19">
        <f>IFERROR(INDEX(Ingredients!$K$2:$K$200,MATCH(C65,Ingredients!$A$2:$A$200,0)),0)</f>
        <v/>
      </c>
      <c r="H65" s="14">
        <f>IFERROR(E65*G65,0)</f>
        <v/>
      </c>
      <c r="I65" s="20">
        <f>IFERROR(INDEX('Menu Items'!$M$2:$M$200,MATCH(A65,'Menu Items'!$A$2:$A$200,0)),0)</f>
        <v/>
      </c>
      <c r="J65" s="12">
        <f>IFERROR(E65*I65,0)</f>
        <v/>
      </c>
    </row>
    <row r="66">
      <c r="A66" s="6" t="inlineStr">
        <is>
          <t>MI-011</t>
        </is>
      </c>
      <c r="B66" s="18">
        <f>IFERROR(INDEX('Menu Items'!$B$2:$B$200,MATCH(A66,'Menu Items'!$A$2:$A$200,0)),"")</f>
        <v/>
      </c>
      <c r="C66" s="6" t="inlineStr">
        <is>
          <t>ING-024</t>
        </is>
      </c>
      <c r="D66" s="18">
        <f>IFERROR(INDEX(Ingredients!$B$2:$B$200,MATCH(C66,Ingredients!$A$2:$A$200,0)),"")</f>
        <v/>
      </c>
      <c r="E66" s="7" t="n">
        <v>1.5</v>
      </c>
      <c r="F66" s="18">
        <f>IFERROR(INDEX(Ingredients!$D$2:$D$200,MATCH(C66,Ingredients!$A$2:$A$200,0)),"")</f>
        <v/>
      </c>
      <c r="G66" s="19">
        <f>IFERROR(INDEX(Ingredients!$K$2:$K$200,MATCH(C66,Ingredients!$A$2:$A$200,0)),0)</f>
        <v/>
      </c>
      <c r="H66" s="14">
        <f>IFERROR(E66*G66,0)</f>
        <v/>
      </c>
      <c r="I66" s="20">
        <f>IFERROR(INDEX('Menu Items'!$M$2:$M$200,MATCH(A66,'Menu Items'!$A$2:$A$200,0)),0)</f>
        <v/>
      </c>
      <c r="J66" s="12">
        <f>IFERROR(E66*I66,0)</f>
        <v/>
      </c>
    </row>
    <row r="67">
      <c r="A67" s="6" t="inlineStr">
        <is>
          <t>MI-011</t>
        </is>
      </c>
      <c r="B67" s="18">
        <f>IFERROR(INDEX('Menu Items'!$B$2:$B$200,MATCH(A67,'Menu Items'!$A$2:$A$200,0)),"")</f>
        <v/>
      </c>
      <c r="C67" s="6" t="inlineStr">
        <is>
          <t>ING-029</t>
        </is>
      </c>
      <c r="D67" s="18">
        <f>IFERROR(INDEX(Ingredients!$B$2:$B$200,MATCH(C67,Ingredients!$A$2:$A$200,0)),"")</f>
        <v/>
      </c>
      <c r="E67" s="7" t="n">
        <v>6</v>
      </c>
      <c r="F67" s="18">
        <f>IFERROR(INDEX(Ingredients!$D$2:$D$200,MATCH(C67,Ingredients!$A$2:$A$200,0)),"")</f>
        <v/>
      </c>
      <c r="G67" s="19">
        <f>IFERROR(INDEX(Ingredients!$K$2:$K$200,MATCH(C67,Ingredients!$A$2:$A$200,0)),0)</f>
        <v/>
      </c>
      <c r="H67" s="14">
        <f>IFERROR(E67*G67,0)</f>
        <v/>
      </c>
      <c r="I67" s="20">
        <f>IFERROR(INDEX('Menu Items'!$M$2:$M$200,MATCH(A67,'Menu Items'!$A$2:$A$200,0)),0)</f>
        <v/>
      </c>
      <c r="J67" s="12">
        <f>IFERROR(E67*I67,0)</f>
        <v/>
      </c>
    </row>
    <row r="68">
      <c r="A68" s="6" t="inlineStr">
        <is>
          <t>MI-011</t>
        </is>
      </c>
      <c r="B68" s="18">
        <f>IFERROR(INDEX('Menu Items'!$B$2:$B$200,MATCH(A68,'Menu Items'!$A$2:$A$200,0)),"")</f>
        <v/>
      </c>
      <c r="C68" s="6" t="inlineStr">
        <is>
          <t>ING-030</t>
        </is>
      </c>
      <c r="D68" s="18">
        <f>IFERROR(INDEX(Ingredients!$B$2:$B$200,MATCH(C68,Ingredients!$A$2:$A$200,0)),"")</f>
        <v/>
      </c>
      <c r="E68" s="7" t="n">
        <v>1</v>
      </c>
      <c r="F68" s="18">
        <f>IFERROR(INDEX(Ingredients!$D$2:$D$200,MATCH(C68,Ingredients!$A$2:$A$200,0)),"")</f>
        <v/>
      </c>
      <c r="G68" s="19">
        <f>IFERROR(INDEX(Ingredients!$K$2:$K$200,MATCH(C68,Ingredients!$A$2:$A$200,0)),0)</f>
        <v/>
      </c>
      <c r="H68" s="14">
        <f>IFERROR(E68*G68,0)</f>
        <v/>
      </c>
      <c r="I68" s="20">
        <f>IFERROR(INDEX('Menu Items'!$M$2:$M$200,MATCH(A68,'Menu Items'!$A$2:$A$200,0)),0)</f>
        <v/>
      </c>
      <c r="J68" s="12">
        <f>IFERROR(E68*I68,0)</f>
        <v/>
      </c>
    </row>
    <row r="69">
      <c r="A69" s="6" t="inlineStr">
        <is>
          <t>MI-012</t>
        </is>
      </c>
      <c r="B69" s="18">
        <f>IFERROR(INDEX('Menu Items'!$B$2:$B$200,MATCH(A69,'Menu Items'!$A$2:$A$200,0)),"")</f>
        <v/>
      </c>
      <c r="C69" s="6" t="inlineStr">
        <is>
          <t>ING-028</t>
        </is>
      </c>
      <c r="D69" s="18">
        <f>IFERROR(INDEX(Ingredients!$B$2:$B$200,MATCH(C69,Ingredients!$A$2:$A$200,0)),"")</f>
        <v/>
      </c>
      <c r="E69" s="7" t="n">
        <v>1</v>
      </c>
      <c r="F69" s="18">
        <f>IFERROR(INDEX(Ingredients!$D$2:$D$200,MATCH(C69,Ingredients!$A$2:$A$200,0)),"")</f>
        <v/>
      </c>
      <c r="G69" s="19">
        <f>IFERROR(INDEX(Ingredients!$K$2:$K$200,MATCH(C69,Ingredients!$A$2:$A$200,0)),0)</f>
        <v/>
      </c>
      <c r="H69" s="14">
        <f>IFERROR(E69*G69,0)</f>
        <v/>
      </c>
      <c r="I69" s="20">
        <f>IFERROR(INDEX('Menu Items'!$M$2:$M$200,MATCH(A69,'Menu Items'!$A$2:$A$200,0)),0)</f>
        <v/>
      </c>
      <c r="J69" s="12">
        <f>IFERROR(E69*I69,0)</f>
        <v/>
      </c>
    </row>
    <row r="70">
      <c r="A70" s="6" t="inlineStr">
        <is>
          <t>MI-012</t>
        </is>
      </c>
      <c r="B70" s="18">
        <f>IFERROR(INDEX('Menu Items'!$B$2:$B$200,MATCH(A70,'Menu Items'!$A$2:$A$200,0)),"")</f>
        <v/>
      </c>
      <c r="C70" s="6" t="inlineStr">
        <is>
          <t>ING-011</t>
        </is>
      </c>
      <c r="D70" s="18">
        <f>IFERROR(INDEX(Ingredients!$B$2:$B$200,MATCH(C70,Ingredients!$A$2:$A$200,0)),"")</f>
        <v/>
      </c>
      <c r="E70" s="7" t="n">
        <v>3</v>
      </c>
      <c r="F70" s="18">
        <f>IFERROR(INDEX(Ingredients!$D$2:$D$200,MATCH(C70,Ingredients!$A$2:$A$200,0)),"")</f>
        <v/>
      </c>
      <c r="G70" s="19">
        <f>IFERROR(INDEX(Ingredients!$K$2:$K$200,MATCH(C70,Ingredients!$A$2:$A$200,0)),0)</f>
        <v/>
      </c>
      <c r="H70" s="14">
        <f>IFERROR(E70*G70,0)</f>
        <v/>
      </c>
      <c r="I70" s="20">
        <f>IFERROR(INDEX('Menu Items'!$M$2:$M$200,MATCH(A70,'Menu Items'!$A$2:$A$200,0)),0)</f>
        <v/>
      </c>
      <c r="J70" s="12">
        <f>IFERROR(E70*I70,0)</f>
        <v/>
      </c>
    </row>
    <row r="71">
      <c r="A71" s="6" t="inlineStr">
        <is>
          <t>MI-012</t>
        </is>
      </c>
      <c r="B71" s="18">
        <f>IFERROR(INDEX('Menu Items'!$B$2:$B$200,MATCH(A71,'Menu Items'!$A$2:$A$200,0)),"")</f>
        <v/>
      </c>
      <c r="C71" s="6" t="inlineStr">
        <is>
          <t>ING-007</t>
        </is>
      </c>
      <c r="D71" s="18">
        <f>IFERROR(INDEX(Ingredients!$B$2:$B$200,MATCH(C71,Ingredients!$A$2:$A$200,0)),"")</f>
        <v/>
      </c>
      <c r="E71" s="7" t="n">
        <v>1</v>
      </c>
      <c r="F71" s="18">
        <f>IFERROR(INDEX(Ingredients!$D$2:$D$200,MATCH(C71,Ingredients!$A$2:$A$200,0)),"")</f>
        <v/>
      </c>
      <c r="G71" s="19">
        <f>IFERROR(INDEX(Ingredients!$K$2:$K$200,MATCH(C71,Ingredients!$A$2:$A$200,0)),0)</f>
        <v/>
      </c>
      <c r="H71" s="14">
        <f>IFERROR(E71*G71,0)</f>
        <v/>
      </c>
      <c r="I71" s="20">
        <f>IFERROR(INDEX('Menu Items'!$M$2:$M$200,MATCH(A71,'Menu Items'!$A$2:$A$200,0)),0)</f>
        <v/>
      </c>
      <c r="J71" s="12">
        <f>IFERROR(E71*I71,0)</f>
        <v/>
      </c>
    </row>
    <row r="72">
      <c r="A72" s="6" t="inlineStr">
        <is>
          <t>MI-012</t>
        </is>
      </c>
      <c r="B72" s="18">
        <f>IFERROR(INDEX('Menu Items'!$B$2:$B$200,MATCH(A72,'Menu Items'!$A$2:$A$200,0)),"")</f>
        <v/>
      </c>
      <c r="C72" s="6" t="inlineStr">
        <is>
          <t>ING-001</t>
        </is>
      </c>
      <c r="D72" s="18">
        <f>IFERROR(INDEX(Ingredients!$B$2:$B$200,MATCH(C72,Ingredients!$A$2:$A$200,0)),"")</f>
        <v/>
      </c>
      <c r="E72" s="7" t="n">
        <v>8</v>
      </c>
      <c r="F72" s="18">
        <f>IFERROR(INDEX(Ingredients!$D$2:$D$200,MATCH(C72,Ingredients!$A$2:$A$200,0)),"")</f>
        <v/>
      </c>
      <c r="G72" s="19">
        <f>IFERROR(INDEX(Ingredients!$K$2:$K$200,MATCH(C72,Ingredients!$A$2:$A$200,0)),0)</f>
        <v/>
      </c>
      <c r="H72" s="14">
        <f>IFERROR(E72*G72,0)</f>
        <v/>
      </c>
      <c r="I72" s="20">
        <f>IFERROR(INDEX('Menu Items'!$M$2:$M$200,MATCH(A72,'Menu Items'!$A$2:$A$200,0)),0)</f>
        <v/>
      </c>
      <c r="J72" s="12">
        <f>IFERROR(E72*I72,0)</f>
        <v/>
      </c>
    </row>
    <row r="73">
      <c r="A73" s="6" t="inlineStr">
        <is>
          <t>MI-012</t>
        </is>
      </c>
      <c r="B73" s="18">
        <f>IFERROR(INDEX('Menu Items'!$B$2:$B$200,MATCH(A73,'Menu Items'!$A$2:$A$200,0)),"")</f>
        <v/>
      </c>
      <c r="C73" s="6" t="inlineStr">
        <is>
          <t>ING-023</t>
        </is>
      </c>
      <c r="D73" s="18">
        <f>IFERROR(INDEX(Ingredients!$B$2:$B$200,MATCH(C73,Ingredients!$A$2:$A$200,0)),"")</f>
        <v/>
      </c>
      <c r="E73" s="7" t="n">
        <v>0.5</v>
      </c>
      <c r="F73" s="18">
        <f>IFERROR(INDEX(Ingredients!$D$2:$D$200,MATCH(C73,Ingredients!$A$2:$A$200,0)),"")</f>
        <v/>
      </c>
      <c r="G73" s="19">
        <f>IFERROR(INDEX(Ingredients!$K$2:$K$200,MATCH(C73,Ingredients!$A$2:$A$200,0)),0)</f>
        <v/>
      </c>
      <c r="H73" s="14">
        <f>IFERROR(E73*G73,0)</f>
        <v/>
      </c>
      <c r="I73" s="20">
        <f>IFERROR(INDEX('Menu Items'!$M$2:$M$200,MATCH(A73,'Menu Items'!$A$2:$A$200,0)),0)</f>
        <v/>
      </c>
      <c r="J73" s="12">
        <f>IFERROR(E73*I73,0)</f>
        <v/>
      </c>
    </row>
    <row r="74">
      <c r="A74" s="6" t="inlineStr">
        <is>
          <t>MI-012</t>
        </is>
      </c>
      <c r="B74" s="18">
        <f>IFERROR(INDEX('Menu Items'!$B$2:$B$200,MATCH(A74,'Menu Items'!$A$2:$A$200,0)),"")</f>
        <v/>
      </c>
      <c r="C74" s="6" t="inlineStr">
        <is>
          <t>ING-029</t>
        </is>
      </c>
      <c r="D74" s="18">
        <f>IFERROR(INDEX(Ingredients!$B$2:$B$200,MATCH(C74,Ingredients!$A$2:$A$200,0)),"")</f>
        <v/>
      </c>
      <c r="E74" s="7" t="n">
        <v>3</v>
      </c>
      <c r="F74" s="18">
        <f>IFERROR(INDEX(Ingredients!$D$2:$D$200,MATCH(C74,Ingredients!$A$2:$A$200,0)),"")</f>
        <v/>
      </c>
      <c r="G74" s="19">
        <f>IFERROR(INDEX(Ingredients!$K$2:$K$200,MATCH(C74,Ingredients!$A$2:$A$200,0)),0)</f>
        <v/>
      </c>
      <c r="H74" s="14">
        <f>IFERROR(E74*G74,0)</f>
        <v/>
      </c>
      <c r="I74" s="20">
        <f>IFERROR(INDEX('Menu Items'!$M$2:$M$200,MATCH(A74,'Menu Items'!$A$2:$A$200,0)),0)</f>
        <v/>
      </c>
      <c r="J74" s="12">
        <f>IFERROR(E74*I74,0)</f>
        <v/>
      </c>
    </row>
    <row r="75">
      <c r="A75" s="6" t="inlineStr">
        <is>
          <t>MI-012</t>
        </is>
      </c>
      <c r="B75" s="18">
        <f>IFERROR(INDEX('Menu Items'!$B$2:$B$200,MATCH(A75,'Menu Items'!$A$2:$A$200,0)),"")</f>
        <v/>
      </c>
      <c r="C75" s="6" t="inlineStr">
        <is>
          <t>ING-031</t>
        </is>
      </c>
      <c r="D75" s="18">
        <f>IFERROR(INDEX(Ingredients!$B$2:$B$200,MATCH(C75,Ingredients!$A$2:$A$200,0)),"")</f>
        <v/>
      </c>
      <c r="E75" s="7" t="n">
        <v>1</v>
      </c>
      <c r="F75" s="18">
        <f>IFERROR(INDEX(Ingredients!$D$2:$D$200,MATCH(C75,Ingredients!$A$2:$A$200,0)),"")</f>
        <v/>
      </c>
      <c r="G75" s="19">
        <f>IFERROR(INDEX(Ingredients!$K$2:$K$200,MATCH(C75,Ingredients!$A$2:$A$200,0)),0)</f>
        <v/>
      </c>
      <c r="H75" s="14">
        <f>IFERROR(E75*G75,0)</f>
        <v/>
      </c>
      <c r="I75" s="20">
        <f>IFERROR(INDEX('Menu Items'!$M$2:$M$200,MATCH(A75,'Menu Items'!$A$2:$A$200,0)),0)</f>
        <v/>
      </c>
      <c r="J75" s="12">
        <f>IFERROR(E75*I75,0)</f>
        <v/>
      </c>
    </row>
  </sheetData>
  <autoFilter ref="A1:J75"/>
  <dataValidations count="2">
    <dataValidation sqref="A2:A1000" showDropDown="0" showInputMessage="0" showErrorMessage="0" allowBlank="1" type="list">
      <formula1>'Menu Items'!$A$2:$A$200</formula1>
    </dataValidation>
    <dataValidation sqref="C2:C1000" showDropDown="0" showInputMessage="0" showErrorMessage="0" allowBlank="1" type="list">
      <formula1>Ingredients!$A$2:$A$200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130" customHeight="1">
      <c r="A1" s="21" t="inlineStr">
        <is>
          <t>Ingredient</t>
        </is>
      </c>
      <c r="B1" s="21" t="inlineStr">
        <is>
          <t>Ingredient ID</t>
        </is>
      </c>
      <c r="C1" s="21" t="inlineStr">
        <is>
          <t>Unit</t>
        </is>
      </c>
      <c r="D1" s="22">
        <f>IFERROR(INDEX('Menu Items'!$B$2:$B$200,MATCH(D$2,'Menu Items'!$A$2:$A$200,0)),"")</f>
        <v/>
      </c>
      <c r="E1" s="22">
        <f>IFERROR(INDEX('Menu Items'!$B$2:$B$200,MATCH(E$2,'Menu Items'!$A$2:$A$200,0)),"")</f>
        <v/>
      </c>
      <c r="F1" s="22">
        <f>IFERROR(INDEX('Menu Items'!$B$2:$B$200,MATCH(F$2,'Menu Items'!$A$2:$A$200,0)),"")</f>
        <v/>
      </c>
      <c r="G1" s="22">
        <f>IFERROR(INDEX('Menu Items'!$B$2:$B$200,MATCH(G$2,'Menu Items'!$A$2:$A$200,0)),"")</f>
        <v/>
      </c>
      <c r="H1" s="22">
        <f>IFERROR(INDEX('Menu Items'!$B$2:$B$200,MATCH(H$2,'Menu Items'!$A$2:$A$200,0)),"")</f>
        <v/>
      </c>
      <c r="I1" s="22">
        <f>IFERROR(INDEX('Menu Items'!$B$2:$B$200,MATCH(I$2,'Menu Items'!$A$2:$A$200,0)),"")</f>
        <v/>
      </c>
      <c r="J1" s="22">
        <f>IFERROR(INDEX('Menu Items'!$B$2:$B$200,MATCH(J$2,'Menu Items'!$A$2:$A$200,0)),"")</f>
        <v/>
      </c>
      <c r="K1" s="22">
        <f>IFERROR(INDEX('Menu Items'!$B$2:$B$200,MATCH(K$2,'Menu Items'!$A$2:$A$200,0)),"")</f>
        <v/>
      </c>
      <c r="L1" s="22">
        <f>IFERROR(INDEX('Menu Items'!$B$2:$B$200,MATCH(L$2,'Menu Items'!$A$2:$A$200,0)),"")</f>
        <v/>
      </c>
      <c r="M1" s="22">
        <f>IFERROR(INDEX('Menu Items'!$B$2:$B$200,MATCH(M$2,'Menu Items'!$A$2:$A$200,0)),"")</f>
        <v/>
      </c>
      <c r="N1" s="22">
        <f>IFERROR(INDEX('Menu Items'!$B$2:$B$200,MATCH(N$2,'Menu Items'!$A$2:$A$200,0)),"")</f>
        <v/>
      </c>
      <c r="O1" s="22">
        <f>IFERROR(INDEX('Menu Items'!$B$2:$B$200,MATCH(O$2,'Menu Items'!$A$2:$A$200,0)),"")</f>
        <v/>
      </c>
    </row>
    <row r="2">
      <c r="A2" s="23" t="inlineStr">
        <is>
          <t>Quantity of each ingredient per menu item (blank = not used)</t>
        </is>
      </c>
      <c r="D2" s="2" t="inlineStr">
        <is>
          <t>MI-001</t>
        </is>
      </c>
      <c r="E2" s="2" t="inlineStr">
        <is>
          <t>MI-002</t>
        </is>
      </c>
      <c r="F2" s="2" t="inlineStr">
        <is>
          <t>MI-003</t>
        </is>
      </c>
      <c r="G2" s="2" t="inlineStr">
        <is>
          <t>MI-004</t>
        </is>
      </c>
      <c r="H2" s="2" t="inlineStr">
        <is>
          <t>MI-005</t>
        </is>
      </c>
      <c r="I2" s="2" t="inlineStr">
        <is>
          <t>MI-006</t>
        </is>
      </c>
      <c r="J2" s="2" t="inlineStr">
        <is>
          <t>MI-007</t>
        </is>
      </c>
      <c r="K2" s="2" t="inlineStr">
        <is>
          <t>MI-008</t>
        </is>
      </c>
      <c r="L2" s="2" t="inlineStr">
        <is>
          <t>MI-009</t>
        </is>
      </c>
      <c r="M2" s="2" t="inlineStr">
        <is>
          <t>MI-010</t>
        </is>
      </c>
      <c r="N2" s="2" t="inlineStr">
        <is>
          <t>MI-011</t>
        </is>
      </c>
      <c r="O2" s="2" t="inlineStr">
        <is>
          <t>MI-012</t>
        </is>
      </c>
    </row>
    <row r="3">
      <c r="A3" s="24">
        <f>IFERROR(INDEX(Ingredients!$B$2:$B$200,MATCH($B3,Ingredients!$A$2:$A$200,0)),"")</f>
        <v/>
      </c>
      <c r="B3" s="25" t="inlineStr">
        <is>
          <t>ING-001</t>
        </is>
      </c>
      <c r="C3" s="24">
        <f>IFERROR(INDEX(Ingredients!$D$2:$D$200,MATCH($B3,Ingredients!$A$2:$A$200,0)),"")</f>
        <v/>
      </c>
      <c r="D3" s="26">
        <f>SUMIFS(Recipes!$E$2:$E$1000,Recipes!$A$2:$A$1000,D$2,Recipes!$C$2:$C$1000,$B3)</f>
        <v/>
      </c>
      <c r="E3" s="26">
        <f>SUMIFS(Recipes!$E$2:$E$1000,Recipes!$A$2:$A$1000,E$2,Recipes!$C$2:$C$1000,$B3)</f>
        <v/>
      </c>
      <c r="F3" s="26">
        <f>SUMIFS(Recipes!$E$2:$E$1000,Recipes!$A$2:$A$1000,F$2,Recipes!$C$2:$C$1000,$B3)</f>
        <v/>
      </c>
      <c r="G3" s="26">
        <f>SUMIFS(Recipes!$E$2:$E$1000,Recipes!$A$2:$A$1000,G$2,Recipes!$C$2:$C$1000,$B3)</f>
        <v/>
      </c>
      <c r="H3" s="26">
        <f>SUMIFS(Recipes!$E$2:$E$1000,Recipes!$A$2:$A$1000,H$2,Recipes!$C$2:$C$1000,$B3)</f>
        <v/>
      </c>
      <c r="I3" s="26">
        <f>SUMIFS(Recipes!$E$2:$E$1000,Recipes!$A$2:$A$1000,I$2,Recipes!$C$2:$C$1000,$B3)</f>
        <v/>
      </c>
      <c r="J3" s="26">
        <f>SUMIFS(Recipes!$E$2:$E$1000,Recipes!$A$2:$A$1000,J$2,Recipes!$C$2:$C$1000,$B3)</f>
        <v/>
      </c>
      <c r="K3" s="26">
        <f>SUMIFS(Recipes!$E$2:$E$1000,Recipes!$A$2:$A$1000,K$2,Recipes!$C$2:$C$1000,$B3)</f>
        <v/>
      </c>
      <c r="L3" s="26">
        <f>SUMIFS(Recipes!$E$2:$E$1000,Recipes!$A$2:$A$1000,L$2,Recipes!$C$2:$C$1000,$B3)</f>
        <v/>
      </c>
      <c r="M3" s="26">
        <f>SUMIFS(Recipes!$E$2:$E$1000,Recipes!$A$2:$A$1000,M$2,Recipes!$C$2:$C$1000,$B3)</f>
        <v/>
      </c>
      <c r="N3" s="26">
        <f>SUMIFS(Recipes!$E$2:$E$1000,Recipes!$A$2:$A$1000,N$2,Recipes!$C$2:$C$1000,$B3)</f>
        <v/>
      </c>
      <c r="O3" s="26">
        <f>SUMIFS(Recipes!$E$2:$E$1000,Recipes!$A$2:$A$1000,O$2,Recipes!$C$2:$C$1000,$B3)</f>
        <v/>
      </c>
    </row>
    <row r="4">
      <c r="A4" s="24">
        <f>IFERROR(INDEX(Ingredients!$B$2:$B$200,MATCH($B4,Ingredients!$A$2:$A$200,0)),"")</f>
        <v/>
      </c>
      <c r="B4" s="25" t="inlineStr">
        <is>
          <t>ING-002</t>
        </is>
      </c>
      <c r="C4" s="24">
        <f>IFERROR(INDEX(Ingredients!$D$2:$D$200,MATCH($B4,Ingredients!$A$2:$A$200,0)),"")</f>
        <v/>
      </c>
      <c r="D4" s="26">
        <f>SUMIFS(Recipes!$E$2:$E$1000,Recipes!$A$2:$A$1000,D$2,Recipes!$C$2:$C$1000,$B4)</f>
        <v/>
      </c>
      <c r="E4" s="26">
        <f>SUMIFS(Recipes!$E$2:$E$1000,Recipes!$A$2:$A$1000,E$2,Recipes!$C$2:$C$1000,$B4)</f>
        <v/>
      </c>
      <c r="F4" s="26">
        <f>SUMIFS(Recipes!$E$2:$E$1000,Recipes!$A$2:$A$1000,F$2,Recipes!$C$2:$C$1000,$B4)</f>
        <v/>
      </c>
      <c r="G4" s="26">
        <f>SUMIFS(Recipes!$E$2:$E$1000,Recipes!$A$2:$A$1000,G$2,Recipes!$C$2:$C$1000,$B4)</f>
        <v/>
      </c>
      <c r="H4" s="26">
        <f>SUMIFS(Recipes!$E$2:$E$1000,Recipes!$A$2:$A$1000,H$2,Recipes!$C$2:$C$1000,$B4)</f>
        <v/>
      </c>
      <c r="I4" s="26">
        <f>SUMIFS(Recipes!$E$2:$E$1000,Recipes!$A$2:$A$1000,I$2,Recipes!$C$2:$C$1000,$B4)</f>
        <v/>
      </c>
      <c r="J4" s="26">
        <f>SUMIFS(Recipes!$E$2:$E$1000,Recipes!$A$2:$A$1000,J$2,Recipes!$C$2:$C$1000,$B4)</f>
        <v/>
      </c>
      <c r="K4" s="26">
        <f>SUMIFS(Recipes!$E$2:$E$1000,Recipes!$A$2:$A$1000,K$2,Recipes!$C$2:$C$1000,$B4)</f>
        <v/>
      </c>
      <c r="L4" s="26">
        <f>SUMIFS(Recipes!$E$2:$E$1000,Recipes!$A$2:$A$1000,L$2,Recipes!$C$2:$C$1000,$B4)</f>
        <v/>
      </c>
      <c r="M4" s="26">
        <f>SUMIFS(Recipes!$E$2:$E$1000,Recipes!$A$2:$A$1000,M$2,Recipes!$C$2:$C$1000,$B4)</f>
        <v/>
      </c>
      <c r="N4" s="26">
        <f>SUMIFS(Recipes!$E$2:$E$1000,Recipes!$A$2:$A$1000,N$2,Recipes!$C$2:$C$1000,$B4)</f>
        <v/>
      </c>
      <c r="O4" s="26">
        <f>SUMIFS(Recipes!$E$2:$E$1000,Recipes!$A$2:$A$1000,O$2,Recipes!$C$2:$C$1000,$B4)</f>
        <v/>
      </c>
    </row>
    <row r="5">
      <c r="A5" s="24">
        <f>IFERROR(INDEX(Ingredients!$B$2:$B$200,MATCH($B5,Ingredients!$A$2:$A$200,0)),"")</f>
        <v/>
      </c>
      <c r="B5" s="25" t="inlineStr">
        <is>
          <t>ING-003</t>
        </is>
      </c>
      <c r="C5" s="24">
        <f>IFERROR(INDEX(Ingredients!$D$2:$D$200,MATCH($B5,Ingredients!$A$2:$A$200,0)),"")</f>
        <v/>
      </c>
      <c r="D5" s="26">
        <f>SUMIFS(Recipes!$E$2:$E$1000,Recipes!$A$2:$A$1000,D$2,Recipes!$C$2:$C$1000,$B5)</f>
        <v/>
      </c>
      <c r="E5" s="26">
        <f>SUMIFS(Recipes!$E$2:$E$1000,Recipes!$A$2:$A$1000,E$2,Recipes!$C$2:$C$1000,$B5)</f>
        <v/>
      </c>
      <c r="F5" s="26">
        <f>SUMIFS(Recipes!$E$2:$E$1000,Recipes!$A$2:$A$1000,F$2,Recipes!$C$2:$C$1000,$B5)</f>
        <v/>
      </c>
      <c r="G5" s="26">
        <f>SUMIFS(Recipes!$E$2:$E$1000,Recipes!$A$2:$A$1000,G$2,Recipes!$C$2:$C$1000,$B5)</f>
        <v/>
      </c>
      <c r="H5" s="26">
        <f>SUMIFS(Recipes!$E$2:$E$1000,Recipes!$A$2:$A$1000,H$2,Recipes!$C$2:$C$1000,$B5)</f>
        <v/>
      </c>
      <c r="I5" s="26">
        <f>SUMIFS(Recipes!$E$2:$E$1000,Recipes!$A$2:$A$1000,I$2,Recipes!$C$2:$C$1000,$B5)</f>
        <v/>
      </c>
      <c r="J5" s="26">
        <f>SUMIFS(Recipes!$E$2:$E$1000,Recipes!$A$2:$A$1000,J$2,Recipes!$C$2:$C$1000,$B5)</f>
        <v/>
      </c>
      <c r="K5" s="26">
        <f>SUMIFS(Recipes!$E$2:$E$1000,Recipes!$A$2:$A$1000,K$2,Recipes!$C$2:$C$1000,$B5)</f>
        <v/>
      </c>
      <c r="L5" s="26">
        <f>SUMIFS(Recipes!$E$2:$E$1000,Recipes!$A$2:$A$1000,L$2,Recipes!$C$2:$C$1000,$B5)</f>
        <v/>
      </c>
      <c r="M5" s="26">
        <f>SUMIFS(Recipes!$E$2:$E$1000,Recipes!$A$2:$A$1000,M$2,Recipes!$C$2:$C$1000,$B5)</f>
        <v/>
      </c>
      <c r="N5" s="26">
        <f>SUMIFS(Recipes!$E$2:$E$1000,Recipes!$A$2:$A$1000,N$2,Recipes!$C$2:$C$1000,$B5)</f>
        <v/>
      </c>
      <c r="O5" s="26">
        <f>SUMIFS(Recipes!$E$2:$E$1000,Recipes!$A$2:$A$1000,O$2,Recipes!$C$2:$C$1000,$B5)</f>
        <v/>
      </c>
    </row>
    <row r="6">
      <c r="A6" s="24">
        <f>IFERROR(INDEX(Ingredients!$B$2:$B$200,MATCH($B6,Ingredients!$A$2:$A$200,0)),"")</f>
        <v/>
      </c>
      <c r="B6" s="25" t="inlineStr">
        <is>
          <t>ING-004</t>
        </is>
      </c>
      <c r="C6" s="24">
        <f>IFERROR(INDEX(Ingredients!$D$2:$D$200,MATCH($B6,Ingredients!$A$2:$A$200,0)),"")</f>
        <v/>
      </c>
      <c r="D6" s="26">
        <f>SUMIFS(Recipes!$E$2:$E$1000,Recipes!$A$2:$A$1000,D$2,Recipes!$C$2:$C$1000,$B6)</f>
        <v/>
      </c>
      <c r="E6" s="26">
        <f>SUMIFS(Recipes!$E$2:$E$1000,Recipes!$A$2:$A$1000,E$2,Recipes!$C$2:$C$1000,$B6)</f>
        <v/>
      </c>
      <c r="F6" s="26">
        <f>SUMIFS(Recipes!$E$2:$E$1000,Recipes!$A$2:$A$1000,F$2,Recipes!$C$2:$C$1000,$B6)</f>
        <v/>
      </c>
      <c r="G6" s="26">
        <f>SUMIFS(Recipes!$E$2:$E$1000,Recipes!$A$2:$A$1000,G$2,Recipes!$C$2:$C$1000,$B6)</f>
        <v/>
      </c>
      <c r="H6" s="26">
        <f>SUMIFS(Recipes!$E$2:$E$1000,Recipes!$A$2:$A$1000,H$2,Recipes!$C$2:$C$1000,$B6)</f>
        <v/>
      </c>
      <c r="I6" s="26">
        <f>SUMIFS(Recipes!$E$2:$E$1000,Recipes!$A$2:$A$1000,I$2,Recipes!$C$2:$C$1000,$B6)</f>
        <v/>
      </c>
      <c r="J6" s="26">
        <f>SUMIFS(Recipes!$E$2:$E$1000,Recipes!$A$2:$A$1000,J$2,Recipes!$C$2:$C$1000,$B6)</f>
        <v/>
      </c>
      <c r="K6" s="26">
        <f>SUMIFS(Recipes!$E$2:$E$1000,Recipes!$A$2:$A$1000,K$2,Recipes!$C$2:$C$1000,$B6)</f>
        <v/>
      </c>
      <c r="L6" s="26">
        <f>SUMIFS(Recipes!$E$2:$E$1000,Recipes!$A$2:$A$1000,L$2,Recipes!$C$2:$C$1000,$B6)</f>
        <v/>
      </c>
      <c r="M6" s="26">
        <f>SUMIFS(Recipes!$E$2:$E$1000,Recipes!$A$2:$A$1000,M$2,Recipes!$C$2:$C$1000,$B6)</f>
        <v/>
      </c>
      <c r="N6" s="26">
        <f>SUMIFS(Recipes!$E$2:$E$1000,Recipes!$A$2:$A$1000,N$2,Recipes!$C$2:$C$1000,$B6)</f>
        <v/>
      </c>
      <c r="O6" s="26">
        <f>SUMIFS(Recipes!$E$2:$E$1000,Recipes!$A$2:$A$1000,O$2,Recipes!$C$2:$C$1000,$B6)</f>
        <v/>
      </c>
    </row>
    <row r="7">
      <c r="A7" s="24">
        <f>IFERROR(INDEX(Ingredients!$B$2:$B$200,MATCH($B7,Ingredients!$A$2:$A$200,0)),"")</f>
        <v/>
      </c>
      <c r="B7" s="25" t="inlineStr">
        <is>
          <t>ING-005</t>
        </is>
      </c>
      <c r="C7" s="24">
        <f>IFERROR(INDEX(Ingredients!$D$2:$D$200,MATCH($B7,Ingredients!$A$2:$A$200,0)),"")</f>
        <v/>
      </c>
      <c r="D7" s="26">
        <f>SUMIFS(Recipes!$E$2:$E$1000,Recipes!$A$2:$A$1000,D$2,Recipes!$C$2:$C$1000,$B7)</f>
        <v/>
      </c>
      <c r="E7" s="26">
        <f>SUMIFS(Recipes!$E$2:$E$1000,Recipes!$A$2:$A$1000,E$2,Recipes!$C$2:$C$1000,$B7)</f>
        <v/>
      </c>
      <c r="F7" s="26">
        <f>SUMIFS(Recipes!$E$2:$E$1000,Recipes!$A$2:$A$1000,F$2,Recipes!$C$2:$C$1000,$B7)</f>
        <v/>
      </c>
      <c r="G7" s="26">
        <f>SUMIFS(Recipes!$E$2:$E$1000,Recipes!$A$2:$A$1000,G$2,Recipes!$C$2:$C$1000,$B7)</f>
        <v/>
      </c>
      <c r="H7" s="26">
        <f>SUMIFS(Recipes!$E$2:$E$1000,Recipes!$A$2:$A$1000,H$2,Recipes!$C$2:$C$1000,$B7)</f>
        <v/>
      </c>
      <c r="I7" s="26">
        <f>SUMIFS(Recipes!$E$2:$E$1000,Recipes!$A$2:$A$1000,I$2,Recipes!$C$2:$C$1000,$B7)</f>
        <v/>
      </c>
      <c r="J7" s="26">
        <f>SUMIFS(Recipes!$E$2:$E$1000,Recipes!$A$2:$A$1000,J$2,Recipes!$C$2:$C$1000,$B7)</f>
        <v/>
      </c>
      <c r="K7" s="26">
        <f>SUMIFS(Recipes!$E$2:$E$1000,Recipes!$A$2:$A$1000,K$2,Recipes!$C$2:$C$1000,$B7)</f>
        <v/>
      </c>
      <c r="L7" s="26">
        <f>SUMIFS(Recipes!$E$2:$E$1000,Recipes!$A$2:$A$1000,L$2,Recipes!$C$2:$C$1000,$B7)</f>
        <v/>
      </c>
      <c r="M7" s="26">
        <f>SUMIFS(Recipes!$E$2:$E$1000,Recipes!$A$2:$A$1000,M$2,Recipes!$C$2:$C$1000,$B7)</f>
        <v/>
      </c>
      <c r="N7" s="26">
        <f>SUMIFS(Recipes!$E$2:$E$1000,Recipes!$A$2:$A$1000,N$2,Recipes!$C$2:$C$1000,$B7)</f>
        <v/>
      </c>
      <c r="O7" s="26">
        <f>SUMIFS(Recipes!$E$2:$E$1000,Recipes!$A$2:$A$1000,O$2,Recipes!$C$2:$C$1000,$B7)</f>
        <v/>
      </c>
    </row>
    <row r="8">
      <c r="A8" s="24">
        <f>IFERROR(INDEX(Ingredients!$B$2:$B$200,MATCH($B8,Ingredients!$A$2:$A$200,0)),"")</f>
        <v/>
      </c>
      <c r="B8" s="25" t="inlineStr">
        <is>
          <t>ING-006</t>
        </is>
      </c>
      <c r="C8" s="24">
        <f>IFERROR(INDEX(Ingredients!$D$2:$D$200,MATCH($B8,Ingredients!$A$2:$A$200,0)),"")</f>
        <v/>
      </c>
      <c r="D8" s="26">
        <f>SUMIFS(Recipes!$E$2:$E$1000,Recipes!$A$2:$A$1000,D$2,Recipes!$C$2:$C$1000,$B8)</f>
        <v/>
      </c>
      <c r="E8" s="26">
        <f>SUMIFS(Recipes!$E$2:$E$1000,Recipes!$A$2:$A$1000,E$2,Recipes!$C$2:$C$1000,$B8)</f>
        <v/>
      </c>
      <c r="F8" s="26">
        <f>SUMIFS(Recipes!$E$2:$E$1000,Recipes!$A$2:$A$1000,F$2,Recipes!$C$2:$C$1000,$B8)</f>
        <v/>
      </c>
      <c r="G8" s="26">
        <f>SUMIFS(Recipes!$E$2:$E$1000,Recipes!$A$2:$A$1000,G$2,Recipes!$C$2:$C$1000,$B8)</f>
        <v/>
      </c>
      <c r="H8" s="26">
        <f>SUMIFS(Recipes!$E$2:$E$1000,Recipes!$A$2:$A$1000,H$2,Recipes!$C$2:$C$1000,$B8)</f>
        <v/>
      </c>
      <c r="I8" s="26">
        <f>SUMIFS(Recipes!$E$2:$E$1000,Recipes!$A$2:$A$1000,I$2,Recipes!$C$2:$C$1000,$B8)</f>
        <v/>
      </c>
      <c r="J8" s="26">
        <f>SUMIFS(Recipes!$E$2:$E$1000,Recipes!$A$2:$A$1000,J$2,Recipes!$C$2:$C$1000,$B8)</f>
        <v/>
      </c>
      <c r="K8" s="26">
        <f>SUMIFS(Recipes!$E$2:$E$1000,Recipes!$A$2:$A$1000,K$2,Recipes!$C$2:$C$1000,$B8)</f>
        <v/>
      </c>
      <c r="L8" s="26">
        <f>SUMIFS(Recipes!$E$2:$E$1000,Recipes!$A$2:$A$1000,L$2,Recipes!$C$2:$C$1000,$B8)</f>
        <v/>
      </c>
      <c r="M8" s="26">
        <f>SUMIFS(Recipes!$E$2:$E$1000,Recipes!$A$2:$A$1000,M$2,Recipes!$C$2:$C$1000,$B8)</f>
        <v/>
      </c>
      <c r="N8" s="26">
        <f>SUMIFS(Recipes!$E$2:$E$1000,Recipes!$A$2:$A$1000,N$2,Recipes!$C$2:$C$1000,$B8)</f>
        <v/>
      </c>
      <c r="O8" s="26">
        <f>SUMIFS(Recipes!$E$2:$E$1000,Recipes!$A$2:$A$1000,O$2,Recipes!$C$2:$C$1000,$B8)</f>
        <v/>
      </c>
    </row>
    <row r="9">
      <c r="A9" s="24">
        <f>IFERROR(INDEX(Ingredients!$B$2:$B$200,MATCH($B9,Ingredients!$A$2:$A$200,0)),"")</f>
        <v/>
      </c>
      <c r="B9" s="25" t="inlineStr">
        <is>
          <t>ING-007</t>
        </is>
      </c>
      <c r="C9" s="24">
        <f>IFERROR(INDEX(Ingredients!$D$2:$D$200,MATCH($B9,Ingredients!$A$2:$A$200,0)),"")</f>
        <v/>
      </c>
      <c r="D9" s="26">
        <f>SUMIFS(Recipes!$E$2:$E$1000,Recipes!$A$2:$A$1000,D$2,Recipes!$C$2:$C$1000,$B9)</f>
        <v/>
      </c>
      <c r="E9" s="26">
        <f>SUMIFS(Recipes!$E$2:$E$1000,Recipes!$A$2:$A$1000,E$2,Recipes!$C$2:$C$1000,$B9)</f>
        <v/>
      </c>
      <c r="F9" s="26">
        <f>SUMIFS(Recipes!$E$2:$E$1000,Recipes!$A$2:$A$1000,F$2,Recipes!$C$2:$C$1000,$B9)</f>
        <v/>
      </c>
      <c r="G9" s="26">
        <f>SUMIFS(Recipes!$E$2:$E$1000,Recipes!$A$2:$A$1000,G$2,Recipes!$C$2:$C$1000,$B9)</f>
        <v/>
      </c>
      <c r="H9" s="26">
        <f>SUMIFS(Recipes!$E$2:$E$1000,Recipes!$A$2:$A$1000,H$2,Recipes!$C$2:$C$1000,$B9)</f>
        <v/>
      </c>
      <c r="I9" s="26">
        <f>SUMIFS(Recipes!$E$2:$E$1000,Recipes!$A$2:$A$1000,I$2,Recipes!$C$2:$C$1000,$B9)</f>
        <v/>
      </c>
      <c r="J9" s="26">
        <f>SUMIFS(Recipes!$E$2:$E$1000,Recipes!$A$2:$A$1000,J$2,Recipes!$C$2:$C$1000,$B9)</f>
        <v/>
      </c>
      <c r="K9" s="26">
        <f>SUMIFS(Recipes!$E$2:$E$1000,Recipes!$A$2:$A$1000,K$2,Recipes!$C$2:$C$1000,$B9)</f>
        <v/>
      </c>
      <c r="L9" s="26">
        <f>SUMIFS(Recipes!$E$2:$E$1000,Recipes!$A$2:$A$1000,L$2,Recipes!$C$2:$C$1000,$B9)</f>
        <v/>
      </c>
      <c r="M9" s="26">
        <f>SUMIFS(Recipes!$E$2:$E$1000,Recipes!$A$2:$A$1000,M$2,Recipes!$C$2:$C$1000,$B9)</f>
        <v/>
      </c>
      <c r="N9" s="26">
        <f>SUMIFS(Recipes!$E$2:$E$1000,Recipes!$A$2:$A$1000,N$2,Recipes!$C$2:$C$1000,$B9)</f>
        <v/>
      </c>
      <c r="O9" s="26">
        <f>SUMIFS(Recipes!$E$2:$E$1000,Recipes!$A$2:$A$1000,O$2,Recipes!$C$2:$C$1000,$B9)</f>
        <v/>
      </c>
    </row>
    <row r="10">
      <c r="A10" s="24">
        <f>IFERROR(INDEX(Ingredients!$B$2:$B$200,MATCH($B10,Ingredients!$A$2:$A$200,0)),"")</f>
        <v/>
      </c>
      <c r="B10" s="25" t="inlineStr">
        <is>
          <t>ING-008</t>
        </is>
      </c>
      <c r="C10" s="24">
        <f>IFERROR(INDEX(Ingredients!$D$2:$D$200,MATCH($B10,Ingredients!$A$2:$A$200,0)),"")</f>
        <v/>
      </c>
      <c r="D10" s="26">
        <f>SUMIFS(Recipes!$E$2:$E$1000,Recipes!$A$2:$A$1000,D$2,Recipes!$C$2:$C$1000,$B10)</f>
        <v/>
      </c>
      <c r="E10" s="26">
        <f>SUMIFS(Recipes!$E$2:$E$1000,Recipes!$A$2:$A$1000,E$2,Recipes!$C$2:$C$1000,$B10)</f>
        <v/>
      </c>
      <c r="F10" s="26">
        <f>SUMIFS(Recipes!$E$2:$E$1000,Recipes!$A$2:$A$1000,F$2,Recipes!$C$2:$C$1000,$B10)</f>
        <v/>
      </c>
      <c r="G10" s="26">
        <f>SUMIFS(Recipes!$E$2:$E$1000,Recipes!$A$2:$A$1000,G$2,Recipes!$C$2:$C$1000,$B10)</f>
        <v/>
      </c>
      <c r="H10" s="26">
        <f>SUMIFS(Recipes!$E$2:$E$1000,Recipes!$A$2:$A$1000,H$2,Recipes!$C$2:$C$1000,$B10)</f>
        <v/>
      </c>
      <c r="I10" s="26">
        <f>SUMIFS(Recipes!$E$2:$E$1000,Recipes!$A$2:$A$1000,I$2,Recipes!$C$2:$C$1000,$B10)</f>
        <v/>
      </c>
      <c r="J10" s="26">
        <f>SUMIFS(Recipes!$E$2:$E$1000,Recipes!$A$2:$A$1000,J$2,Recipes!$C$2:$C$1000,$B10)</f>
        <v/>
      </c>
      <c r="K10" s="26">
        <f>SUMIFS(Recipes!$E$2:$E$1000,Recipes!$A$2:$A$1000,K$2,Recipes!$C$2:$C$1000,$B10)</f>
        <v/>
      </c>
      <c r="L10" s="26">
        <f>SUMIFS(Recipes!$E$2:$E$1000,Recipes!$A$2:$A$1000,L$2,Recipes!$C$2:$C$1000,$B10)</f>
        <v/>
      </c>
      <c r="M10" s="26">
        <f>SUMIFS(Recipes!$E$2:$E$1000,Recipes!$A$2:$A$1000,M$2,Recipes!$C$2:$C$1000,$B10)</f>
        <v/>
      </c>
      <c r="N10" s="26">
        <f>SUMIFS(Recipes!$E$2:$E$1000,Recipes!$A$2:$A$1000,N$2,Recipes!$C$2:$C$1000,$B10)</f>
        <v/>
      </c>
      <c r="O10" s="26">
        <f>SUMIFS(Recipes!$E$2:$E$1000,Recipes!$A$2:$A$1000,O$2,Recipes!$C$2:$C$1000,$B10)</f>
        <v/>
      </c>
    </row>
    <row r="11">
      <c r="A11" s="24">
        <f>IFERROR(INDEX(Ingredients!$B$2:$B$200,MATCH($B11,Ingredients!$A$2:$A$200,0)),"")</f>
        <v/>
      </c>
      <c r="B11" s="25" t="inlineStr">
        <is>
          <t>ING-009</t>
        </is>
      </c>
      <c r="C11" s="24">
        <f>IFERROR(INDEX(Ingredients!$D$2:$D$200,MATCH($B11,Ingredients!$A$2:$A$200,0)),"")</f>
        <v/>
      </c>
      <c r="D11" s="26">
        <f>SUMIFS(Recipes!$E$2:$E$1000,Recipes!$A$2:$A$1000,D$2,Recipes!$C$2:$C$1000,$B11)</f>
        <v/>
      </c>
      <c r="E11" s="26">
        <f>SUMIFS(Recipes!$E$2:$E$1000,Recipes!$A$2:$A$1000,E$2,Recipes!$C$2:$C$1000,$B11)</f>
        <v/>
      </c>
      <c r="F11" s="26">
        <f>SUMIFS(Recipes!$E$2:$E$1000,Recipes!$A$2:$A$1000,F$2,Recipes!$C$2:$C$1000,$B11)</f>
        <v/>
      </c>
      <c r="G11" s="26">
        <f>SUMIFS(Recipes!$E$2:$E$1000,Recipes!$A$2:$A$1000,G$2,Recipes!$C$2:$C$1000,$B11)</f>
        <v/>
      </c>
      <c r="H11" s="26">
        <f>SUMIFS(Recipes!$E$2:$E$1000,Recipes!$A$2:$A$1000,H$2,Recipes!$C$2:$C$1000,$B11)</f>
        <v/>
      </c>
      <c r="I11" s="26">
        <f>SUMIFS(Recipes!$E$2:$E$1000,Recipes!$A$2:$A$1000,I$2,Recipes!$C$2:$C$1000,$B11)</f>
        <v/>
      </c>
      <c r="J11" s="26">
        <f>SUMIFS(Recipes!$E$2:$E$1000,Recipes!$A$2:$A$1000,J$2,Recipes!$C$2:$C$1000,$B11)</f>
        <v/>
      </c>
      <c r="K11" s="26">
        <f>SUMIFS(Recipes!$E$2:$E$1000,Recipes!$A$2:$A$1000,K$2,Recipes!$C$2:$C$1000,$B11)</f>
        <v/>
      </c>
      <c r="L11" s="26">
        <f>SUMIFS(Recipes!$E$2:$E$1000,Recipes!$A$2:$A$1000,L$2,Recipes!$C$2:$C$1000,$B11)</f>
        <v/>
      </c>
      <c r="M11" s="26">
        <f>SUMIFS(Recipes!$E$2:$E$1000,Recipes!$A$2:$A$1000,M$2,Recipes!$C$2:$C$1000,$B11)</f>
        <v/>
      </c>
      <c r="N11" s="26">
        <f>SUMIFS(Recipes!$E$2:$E$1000,Recipes!$A$2:$A$1000,N$2,Recipes!$C$2:$C$1000,$B11)</f>
        <v/>
      </c>
      <c r="O11" s="26">
        <f>SUMIFS(Recipes!$E$2:$E$1000,Recipes!$A$2:$A$1000,O$2,Recipes!$C$2:$C$1000,$B11)</f>
        <v/>
      </c>
    </row>
    <row r="12">
      <c r="A12" s="24">
        <f>IFERROR(INDEX(Ingredients!$B$2:$B$200,MATCH($B12,Ingredients!$A$2:$A$200,0)),"")</f>
        <v/>
      </c>
      <c r="B12" s="25" t="inlineStr">
        <is>
          <t>ING-010</t>
        </is>
      </c>
      <c r="C12" s="24">
        <f>IFERROR(INDEX(Ingredients!$D$2:$D$200,MATCH($B12,Ingredients!$A$2:$A$200,0)),"")</f>
        <v/>
      </c>
      <c r="D12" s="26">
        <f>SUMIFS(Recipes!$E$2:$E$1000,Recipes!$A$2:$A$1000,D$2,Recipes!$C$2:$C$1000,$B12)</f>
        <v/>
      </c>
      <c r="E12" s="26">
        <f>SUMIFS(Recipes!$E$2:$E$1000,Recipes!$A$2:$A$1000,E$2,Recipes!$C$2:$C$1000,$B12)</f>
        <v/>
      </c>
      <c r="F12" s="26">
        <f>SUMIFS(Recipes!$E$2:$E$1000,Recipes!$A$2:$A$1000,F$2,Recipes!$C$2:$C$1000,$B12)</f>
        <v/>
      </c>
      <c r="G12" s="26">
        <f>SUMIFS(Recipes!$E$2:$E$1000,Recipes!$A$2:$A$1000,G$2,Recipes!$C$2:$C$1000,$B12)</f>
        <v/>
      </c>
      <c r="H12" s="26">
        <f>SUMIFS(Recipes!$E$2:$E$1000,Recipes!$A$2:$A$1000,H$2,Recipes!$C$2:$C$1000,$B12)</f>
        <v/>
      </c>
      <c r="I12" s="26">
        <f>SUMIFS(Recipes!$E$2:$E$1000,Recipes!$A$2:$A$1000,I$2,Recipes!$C$2:$C$1000,$B12)</f>
        <v/>
      </c>
      <c r="J12" s="26">
        <f>SUMIFS(Recipes!$E$2:$E$1000,Recipes!$A$2:$A$1000,J$2,Recipes!$C$2:$C$1000,$B12)</f>
        <v/>
      </c>
      <c r="K12" s="26">
        <f>SUMIFS(Recipes!$E$2:$E$1000,Recipes!$A$2:$A$1000,K$2,Recipes!$C$2:$C$1000,$B12)</f>
        <v/>
      </c>
      <c r="L12" s="26">
        <f>SUMIFS(Recipes!$E$2:$E$1000,Recipes!$A$2:$A$1000,L$2,Recipes!$C$2:$C$1000,$B12)</f>
        <v/>
      </c>
      <c r="M12" s="26">
        <f>SUMIFS(Recipes!$E$2:$E$1000,Recipes!$A$2:$A$1000,M$2,Recipes!$C$2:$C$1000,$B12)</f>
        <v/>
      </c>
      <c r="N12" s="26">
        <f>SUMIFS(Recipes!$E$2:$E$1000,Recipes!$A$2:$A$1000,N$2,Recipes!$C$2:$C$1000,$B12)</f>
        <v/>
      </c>
      <c r="O12" s="26">
        <f>SUMIFS(Recipes!$E$2:$E$1000,Recipes!$A$2:$A$1000,O$2,Recipes!$C$2:$C$1000,$B12)</f>
        <v/>
      </c>
    </row>
    <row r="13">
      <c r="A13" s="24">
        <f>IFERROR(INDEX(Ingredients!$B$2:$B$200,MATCH($B13,Ingredients!$A$2:$A$200,0)),"")</f>
        <v/>
      </c>
      <c r="B13" s="25" t="inlineStr">
        <is>
          <t>ING-011</t>
        </is>
      </c>
      <c r="C13" s="24">
        <f>IFERROR(INDEX(Ingredients!$D$2:$D$200,MATCH($B13,Ingredients!$A$2:$A$200,0)),"")</f>
        <v/>
      </c>
      <c r="D13" s="26">
        <f>SUMIFS(Recipes!$E$2:$E$1000,Recipes!$A$2:$A$1000,D$2,Recipes!$C$2:$C$1000,$B13)</f>
        <v/>
      </c>
      <c r="E13" s="26">
        <f>SUMIFS(Recipes!$E$2:$E$1000,Recipes!$A$2:$A$1000,E$2,Recipes!$C$2:$C$1000,$B13)</f>
        <v/>
      </c>
      <c r="F13" s="26">
        <f>SUMIFS(Recipes!$E$2:$E$1000,Recipes!$A$2:$A$1000,F$2,Recipes!$C$2:$C$1000,$B13)</f>
        <v/>
      </c>
      <c r="G13" s="26">
        <f>SUMIFS(Recipes!$E$2:$E$1000,Recipes!$A$2:$A$1000,G$2,Recipes!$C$2:$C$1000,$B13)</f>
        <v/>
      </c>
      <c r="H13" s="26">
        <f>SUMIFS(Recipes!$E$2:$E$1000,Recipes!$A$2:$A$1000,H$2,Recipes!$C$2:$C$1000,$B13)</f>
        <v/>
      </c>
      <c r="I13" s="26">
        <f>SUMIFS(Recipes!$E$2:$E$1000,Recipes!$A$2:$A$1000,I$2,Recipes!$C$2:$C$1000,$B13)</f>
        <v/>
      </c>
      <c r="J13" s="26">
        <f>SUMIFS(Recipes!$E$2:$E$1000,Recipes!$A$2:$A$1000,J$2,Recipes!$C$2:$C$1000,$B13)</f>
        <v/>
      </c>
      <c r="K13" s="26">
        <f>SUMIFS(Recipes!$E$2:$E$1000,Recipes!$A$2:$A$1000,K$2,Recipes!$C$2:$C$1000,$B13)</f>
        <v/>
      </c>
      <c r="L13" s="26">
        <f>SUMIFS(Recipes!$E$2:$E$1000,Recipes!$A$2:$A$1000,L$2,Recipes!$C$2:$C$1000,$B13)</f>
        <v/>
      </c>
      <c r="M13" s="26">
        <f>SUMIFS(Recipes!$E$2:$E$1000,Recipes!$A$2:$A$1000,M$2,Recipes!$C$2:$C$1000,$B13)</f>
        <v/>
      </c>
      <c r="N13" s="26">
        <f>SUMIFS(Recipes!$E$2:$E$1000,Recipes!$A$2:$A$1000,N$2,Recipes!$C$2:$C$1000,$B13)</f>
        <v/>
      </c>
      <c r="O13" s="26">
        <f>SUMIFS(Recipes!$E$2:$E$1000,Recipes!$A$2:$A$1000,O$2,Recipes!$C$2:$C$1000,$B13)</f>
        <v/>
      </c>
    </row>
    <row r="14">
      <c r="A14" s="24">
        <f>IFERROR(INDEX(Ingredients!$B$2:$B$200,MATCH($B14,Ingredients!$A$2:$A$200,0)),"")</f>
        <v/>
      </c>
      <c r="B14" s="25" t="inlineStr">
        <is>
          <t>ING-012</t>
        </is>
      </c>
      <c r="C14" s="24">
        <f>IFERROR(INDEX(Ingredients!$D$2:$D$200,MATCH($B14,Ingredients!$A$2:$A$200,0)),"")</f>
        <v/>
      </c>
      <c r="D14" s="26">
        <f>SUMIFS(Recipes!$E$2:$E$1000,Recipes!$A$2:$A$1000,D$2,Recipes!$C$2:$C$1000,$B14)</f>
        <v/>
      </c>
      <c r="E14" s="26">
        <f>SUMIFS(Recipes!$E$2:$E$1000,Recipes!$A$2:$A$1000,E$2,Recipes!$C$2:$C$1000,$B14)</f>
        <v/>
      </c>
      <c r="F14" s="26">
        <f>SUMIFS(Recipes!$E$2:$E$1000,Recipes!$A$2:$A$1000,F$2,Recipes!$C$2:$C$1000,$B14)</f>
        <v/>
      </c>
      <c r="G14" s="26">
        <f>SUMIFS(Recipes!$E$2:$E$1000,Recipes!$A$2:$A$1000,G$2,Recipes!$C$2:$C$1000,$B14)</f>
        <v/>
      </c>
      <c r="H14" s="26">
        <f>SUMIFS(Recipes!$E$2:$E$1000,Recipes!$A$2:$A$1000,H$2,Recipes!$C$2:$C$1000,$B14)</f>
        <v/>
      </c>
      <c r="I14" s="26">
        <f>SUMIFS(Recipes!$E$2:$E$1000,Recipes!$A$2:$A$1000,I$2,Recipes!$C$2:$C$1000,$B14)</f>
        <v/>
      </c>
      <c r="J14" s="26">
        <f>SUMIFS(Recipes!$E$2:$E$1000,Recipes!$A$2:$A$1000,J$2,Recipes!$C$2:$C$1000,$B14)</f>
        <v/>
      </c>
      <c r="K14" s="26">
        <f>SUMIFS(Recipes!$E$2:$E$1000,Recipes!$A$2:$A$1000,K$2,Recipes!$C$2:$C$1000,$B14)</f>
        <v/>
      </c>
      <c r="L14" s="26">
        <f>SUMIFS(Recipes!$E$2:$E$1000,Recipes!$A$2:$A$1000,L$2,Recipes!$C$2:$C$1000,$B14)</f>
        <v/>
      </c>
      <c r="M14" s="26">
        <f>SUMIFS(Recipes!$E$2:$E$1000,Recipes!$A$2:$A$1000,M$2,Recipes!$C$2:$C$1000,$B14)</f>
        <v/>
      </c>
      <c r="N14" s="26">
        <f>SUMIFS(Recipes!$E$2:$E$1000,Recipes!$A$2:$A$1000,N$2,Recipes!$C$2:$C$1000,$B14)</f>
        <v/>
      </c>
      <c r="O14" s="26">
        <f>SUMIFS(Recipes!$E$2:$E$1000,Recipes!$A$2:$A$1000,O$2,Recipes!$C$2:$C$1000,$B14)</f>
        <v/>
      </c>
    </row>
    <row r="15">
      <c r="A15" s="24">
        <f>IFERROR(INDEX(Ingredients!$B$2:$B$200,MATCH($B15,Ingredients!$A$2:$A$200,0)),"")</f>
        <v/>
      </c>
      <c r="B15" s="25" t="inlineStr">
        <is>
          <t>ING-013</t>
        </is>
      </c>
      <c r="C15" s="24">
        <f>IFERROR(INDEX(Ingredients!$D$2:$D$200,MATCH($B15,Ingredients!$A$2:$A$200,0)),"")</f>
        <v/>
      </c>
      <c r="D15" s="26">
        <f>SUMIFS(Recipes!$E$2:$E$1000,Recipes!$A$2:$A$1000,D$2,Recipes!$C$2:$C$1000,$B15)</f>
        <v/>
      </c>
      <c r="E15" s="26">
        <f>SUMIFS(Recipes!$E$2:$E$1000,Recipes!$A$2:$A$1000,E$2,Recipes!$C$2:$C$1000,$B15)</f>
        <v/>
      </c>
      <c r="F15" s="26">
        <f>SUMIFS(Recipes!$E$2:$E$1000,Recipes!$A$2:$A$1000,F$2,Recipes!$C$2:$C$1000,$B15)</f>
        <v/>
      </c>
      <c r="G15" s="26">
        <f>SUMIFS(Recipes!$E$2:$E$1000,Recipes!$A$2:$A$1000,G$2,Recipes!$C$2:$C$1000,$B15)</f>
        <v/>
      </c>
      <c r="H15" s="26">
        <f>SUMIFS(Recipes!$E$2:$E$1000,Recipes!$A$2:$A$1000,H$2,Recipes!$C$2:$C$1000,$B15)</f>
        <v/>
      </c>
      <c r="I15" s="26">
        <f>SUMIFS(Recipes!$E$2:$E$1000,Recipes!$A$2:$A$1000,I$2,Recipes!$C$2:$C$1000,$B15)</f>
        <v/>
      </c>
      <c r="J15" s="26">
        <f>SUMIFS(Recipes!$E$2:$E$1000,Recipes!$A$2:$A$1000,J$2,Recipes!$C$2:$C$1000,$B15)</f>
        <v/>
      </c>
      <c r="K15" s="26">
        <f>SUMIFS(Recipes!$E$2:$E$1000,Recipes!$A$2:$A$1000,K$2,Recipes!$C$2:$C$1000,$B15)</f>
        <v/>
      </c>
      <c r="L15" s="26">
        <f>SUMIFS(Recipes!$E$2:$E$1000,Recipes!$A$2:$A$1000,L$2,Recipes!$C$2:$C$1000,$B15)</f>
        <v/>
      </c>
      <c r="M15" s="26">
        <f>SUMIFS(Recipes!$E$2:$E$1000,Recipes!$A$2:$A$1000,M$2,Recipes!$C$2:$C$1000,$B15)</f>
        <v/>
      </c>
      <c r="N15" s="26">
        <f>SUMIFS(Recipes!$E$2:$E$1000,Recipes!$A$2:$A$1000,N$2,Recipes!$C$2:$C$1000,$B15)</f>
        <v/>
      </c>
      <c r="O15" s="26">
        <f>SUMIFS(Recipes!$E$2:$E$1000,Recipes!$A$2:$A$1000,O$2,Recipes!$C$2:$C$1000,$B15)</f>
        <v/>
      </c>
    </row>
    <row r="16">
      <c r="A16" s="24">
        <f>IFERROR(INDEX(Ingredients!$B$2:$B$200,MATCH($B16,Ingredients!$A$2:$A$200,0)),"")</f>
        <v/>
      </c>
      <c r="B16" s="25" t="inlineStr">
        <is>
          <t>ING-014</t>
        </is>
      </c>
      <c r="C16" s="24">
        <f>IFERROR(INDEX(Ingredients!$D$2:$D$200,MATCH($B16,Ingredients!$A$2:$A$200,0)),"")</f>
        <v/>
      </c>
      <c r="D16" s="26">
        <f>SUMIFS(Recipes!$E$2:$E$1000,Recipes!$A$2:$A$1000,D$2,Recipes!$C$2:$C$1000,$B16)</f>
        <v/>
      </c>
      <c r="E16" s="26">
        <f>SUMIFS(Recipes!$E$2:$E$1000,Recipes!$A$2:$A$1000,E$2,Recipes!$C$2:$C$1000,$B16)</f>
        <v/>
      </c>
      <c r="F16" s="26">
        <f>SUMIFS(Recipes!$E$2:$E$1000,Recipes!$A$2:$A$1000,F$2,Recipes!$C$2:$C$1000,$B16)</f>
        <v/>
      </c>
      <c r="G16" s="26">
        <f>SUMIFS(Recipes!$E$2:$E$1000,Recipes!$A$2:$A$1000,G$2,Recipes!$C$2:$C$1000,$B16)</f>
        <v/>
      </c>
      <c r="H16" s="26">
        <f>SUMIFS(Recipes!$E$2:$E$1000,Recipes!$A$2:$A$1000,H$2,Recipes!$C$2:$C$1000,$B16)</f>
        <v/>
      </c>
      <c r="I16" s="26">
        <f>SUMIFS(Recipes!$E$2:$E$1000,Recipes!$A$2:$A$1000,I$2,Recipes!$C$2:$C$1000,$B16)</f>
        <v/>
      </c>
      <c r="J16" s="26">
        <f>SUMIFS(Recipes!$E$2:$E$1000,Recipes!$A$2:$A$1000,J$2,Recipes!$C$2:$C$1000,$B16)</f>
        <v/>
      </c>
      <c r="K16" s="26">
        <f>SUMIFS(Recipes!$E$2:$E$1000,Recipes!$A$2:$A$1000,K$2,Recipes!$C$2:$C$1000,$B16)</f>
        <v/>
      </c>
      <c r="L16" s="26">
        <f>SUMIFS(Recipes!$E$2:$E$1000,Recipes!$A$2:$A$1000,L$2,Recipes!$C$2:$C$1000,$B16)</f>
        <v/>
      </c>
      <c r="M16" s="26">
        <f>SUMIFS(Recipes!$E$2:$E$1000,Recipes!$A$2:$A$1000,M$2,Recipes!$C$2:$C$1000,$B16)</f>
        <v/>
      </c>
      <c r="N16" s="26">
        <f>SUMIFS(Recipes!$E$2:$E$1000,Recipes!$A$2:$A$1000,N$2,Recipes!$C$2:$C$1000,$B16)</f>
        <v/>
      </c>
      <c r="O16" s="26">
        <f>SUMIFS(Recipes!$E$2:$E$1000,Recipes!$A$2:$A$1000,O$2,Recipes!$C$2:$C$1000,$B16)</f>
        <v/>
      </c>
    </row>
    <row r="17">
      <c r="A17" s="24">
        <f>IFERROR(INDEX(Ingredients!$B$2:$B$200,MATCH($B17,Ingredients!$A$2:$A$200,0)),"")</f>
        <v/>
      </c>
      <c r="B17" s="25" t="inlineStr">
        <is>
          <t>ING-015</t>
        </is>
      </c>
      <c r="C17" s="24">
        <f>IFERROR(INDEX(Ingredients!$D$2:$D$200,MATCH($B17,Ingredients!$A$2:$A$200,0)),"")</f>
        <v/>
      </c>
      <c r="D17" s="26">
        <f>SUMIFS(Recipes!$E$2:$E$1000,Recipes!$A$2:$A$1000,D$2,Recipes!$C$2:$C$1000,$B17)</f>
        <v/>
      </c>
      <c r="E17" s="26">
        <f>SUMIFS(Recipes!$E$2:$E$1000,Recipes!$A$2:$A$1000,E$2,Recipes!$C$2:$C$1000,$B17)</f>
        <v/>
      </c>
      <c r="F17" s="26">
        <f>SUMIFS(Recipes!$E$2:$E$1000,Recipes!$A$2:$A$1000,F$2,Recipes!$C$2:$C$1000,$B17)</f>
        <v/>
      </c>
      <c r="G17" s="26">
        <f>SUMIFS(Recipes!$E$2:$E$1000,Recipes!$A$2:$A$1000,G$2,Recipes!$C$2:$C$1000,$B17)</f>
        <v/>
      </c>
      <c r="H17" s="26">
        <f>SUMIFS(Recipes!$E$2:$E$1000,Recipes!$A$2:$A$1000,H$2,Recipes!$C$2:$C$1000,$B17)</f>
        <v/>
      </c>
      <c r="I17" s="26">
        <f>SUMIFS(Recipes!$E$2:$E$1000,Recipes!$A$2:$A$1000,I$2,Recipes!$C$2:$C$1000,$B17)</f>
        <v/>
      </c>
      <c r="J17" s="26">
        <f>SUMIFS(Recipes!$E$2:$E$1000,Recipes!$A$2:$A$1000,J$2,Recipes!$C$2:$C$1000,$B17)</f>
        <v/>
      </c>
      <c r="K17" s="26">
        <f>SUMIFS(Recipes!$E$2:$E$1000,Recipes!$A$2:$A$1000,K$2,Recipes!$C$2:$C$1000,$B17)</f>
        <v/>
      </c>
      <c r="L17" s="26">
        <f>SUMIFS(Recipes!$E$2:$E$1000,Recipes!$A$2:$A$1000,L$2,Recipes!$C$2:$C$1000,$B17)</f>
        <v/>
      </c>
      <c r="M17" s="26">
        <f>SUMIFS(Recipes!$E$2:$E$1000,Recipes!$A$2:$A$1000,M$2,Recipes!$C$2:$C$1000,$B17)</f>
        <v/>
      </c>
      <c r="N17" s="26">
        <f>SUMIFS(Recipes!$E$2:$E$1000,Recipes!$A$2:$A$1000,N$2,Recipes!$C$2:$C$1000,$B17)</f>
        <v/>
      </c>
      <c r="O17" s="26">
        <f>SUMIFS(Recipes!$E$2:$E$1000,Recipes!$A$2:$A$1000,O$2,Recipes!$C$2:$C$1000,$B17)</f>
        <v/>
      </c>
    </row>
    <row r="18">
      <c r="A18" s="24">
        <f>IFERROR(INDEX(Ingredients!$B$2:$B$200,MATCH($B18,Ingredients!$A$2:$A$200,0)),"")</f>
        <v/>
      </c>
      <c r="B18" s="25" t="inlineStr">
        <is>
          <t>ING-016</t>
        </is>
      </c>
      <c r="C18" s="24">
        <f>IFERROR(INDEX(Ingredients!$D$2:$D$200,MATCH($B18,Ingredients!$A$2:$A$200,0)),"")</f>
        <v/>
      </c>
      <c r="D18" s="26">
        <f>SUMIFS(Recipes!$E$2:$E$1000,Recipes!$A$2:$A$1000,D$2,Recipes!$C$2:$C$1000,$B18)</f>
        <v/>
      </c>
      <c r="E18" s="26">
        <f>SUMIFS(Recipes!$E$2:$E$1000,Recipes!$A$2:$A$1000,E$2,Recipes!$C$2:$C$1000,$B18)</f>
        <v/>
      </c>
      <c r="F18" s="26">
        <f>SUMIFS(Recipes!$E$2:$E$1000,Recipes!$A$2:$A$1000,F$2,Recipes!$C$2:$C$1000,$B18)</f>
        <v/>
      </c>
      <c r="G18" s="26">
        <f>SUMIFS(Recipes!$E$2:$E$1000,Recipes!$A$2:$A$1000,G$2,Recipes!$C$2:$C$1000,$B18)</f>
        <v/>
      </c>
      <c r="H18" s="26">
        <f>SUMIFS(Recipes!$E$2:$E$1000,Recipes!$A$2:$A$1000,H$2,Recipes!$C$2:$C$1000,$B18)</f>
        <v/>
      </c>
      <c r="I18" s="26">
        <f>SUMIFS(Recipes!$E$2:$E$1000,Recipes!$A$2:$A$1000,I$2,Recipes!$C$2:$C$1000,$B18)</f>
        <v/>
      </c>
      <c r="J18" s="26">
        <f>SUMIFS(Recipes!$E$2:$E$1000,Recipes!$A$2:$A$1000,J$2,Recipes!$C$2:$C$1000,$B18)</f>
        <v/>
      </c>
      <c r="K18" s="26">
        <f>SUMIFS(Recipes!$E$2:$E$1000,Recipes!$A$2:$A$1000,K$2,Recipes!$C$2:$C$1000,$B18)</f>
        <v/>
      </c>
      <c r="L18" s="26">
        <f>SUMIFS(Recipes!$E$2:$E$1000,Recipes!$A$2:$A$1000,L$2,Recipes!$C$2:$C$1000,$B18)</f>
        <v/>
      </c>
      <c r="M18" s="26">
        <f>SUMIFS(Recipes!$E$2:$E$1000,Recipes!$A$2:$A$1000,M$2,Recipes!$C$2:$C$1000,$B18)</f>
        <v/>
      </c>
      <c r="N18" s="26">
        <f>SUMIFS(Recipes!$E$2:$E$1000,Recipes!$A$2:$A$1000,N$2,Recipes!$C$2:$C$1000,$B18)</f>
        <v/>
      </c>
      <c r="O18" s="26">
        <f>SUMIFS(Recipes!$E$2:$E$1000,Recipes!$A$2:$A$1000,O$2,Recipes!$C$2:$C$1000,$B18)</f>
        <v/>
      </c>
    </row>
    <row r="19">
      <c r="A19" s="24">
        <f>IFERROR(INDEX(Ingredients!$B$2:$B$200,MATCH($B19,Ingredients!$A$2:$A$200,0)),"")</f>
        <v/>
      </c>
      <c r="B19" s="25" t="inlineStr">
        <is>
          <t>ING-017</t>
        </is>
      </c>
      <c r="C19" s="24">
        <f>IFERROR(INDEX(Ingredients!$D$2:$D$200,MATCH($B19,Ingredients!$A$2:$A$200,0)),"")</f>
        <v/>
      </c>
      <c r="D19" s="26">
        <f>SUMIFS(Recipes!$E$2:$E$1000,Recipes!$A$2:$A$1000,D$2,Recipes!$C$2:$C$1000,$B19)</f>
        <v/>
      </c>
      <c r="E19" s="26">
        <f>SUMIFS(Recipes!$E$2:$E$1000,Recipes!$A$2:$A$1000,E$2,Recipes!$C$2:$C$1000,$B19)</f>
        <v/>
      </c>
      <c r="F19" s="26">
        <f>SUMIFS(Recipes!$E$2:$E$1000,Recipes!$A$2:$A$1000,F$2,Recipes!$C$2:$C$1000,$B19)</f>
        <v/>
      </c>
      <c r="G19" s="26">
        <f>SUMIFS(Recipes!$E$2:$E$1000,Recipes!$A$2:$A$1000,G$2,Recipes!$C$2:$C$1000,$B19)</f>
        <v/>
      </c>
      <c r="H19" s="26">
        <f>SUMIFS(Recipes!$E$2:$E$1000,Recipes!$A$2:$A$1000,H$2,Recipes!$C$2:$C$1000,$B19)</f>
        <v/>
      </c>
      <c r="I19" s="26">
        <f>SUMIFS(Recipes!$E$2:$E$1000,Recipes!$A$2:$A$1000,I$2,Recipes!$C$2:$C$1000,$B19)</f>
        <v/>
      </c>
      <c r="J19" s="26">
        <f>SUMIFS(Recipes!$E$2:$E$1000,Recipes!$A$2:$A$1000,J$2,Recipes!$C$2:$C$1000,$B19)</f>
        <v/>
      </c>
      <c r="K19" s="26">
        <f>SUMIFS(Recipes!$E$2:$E$1000,Recipes!$A$2:$A$1000,K$2,Recipes!$C$2:$C$1000,$B19)</f>
        <v/>
      </c>
      <c r="L19" s="26">
        <f>SUMIFS(Recipes!$E$2:$E$1000,Recipes!$A$2:$A$1000,L$2,Recipes!$C$2:$C$1000,$B19)</f>
        <v/>
      </c>
      <c r="M19" s="26">
        <f>SUMIFS(Recipes!$E$2:$E$1000,Recipes!$A$2:$A$1000,M$2,Recipes!$C$2:$C$1000,$B19)</f>
        <v/>
      </c>
      <c r="N19" s="26">
        <f>SUMIFS(Recipes!$E$2:$E$1000,Recipes!$A$2:$A$1000,N$2,Recipes!$C$2:$C$1000,$B19)</f>
        <v/>
      </c>
      <c r="O19" s="26">
        <f>SUMIFS(Recipes!$E$2:$E$1000,Recipes!$A$2:$A$1000,O$2,Recipes!$C$2:$C$1000,$B19)</f>
        <v/>
      </c>
    </row>
    <row r="20">
      <c r="A20" s="24">
        <f>IFERROR(INDEX(Ingredients!$B$2:$B$200,MATCH($B20,Ingredients!$A$2:$A$200,0)),"")</f>
        <v/>
      </c>
      <c r="B20" s="25" t="inlineStr">
        <is>
          <t>ING-018</t>
        </is>
      </c>
      <c r="C20" s="24">
        <f>IFERROR(INDEX(Ingredients!$D$2:$D$200,MATCH($B20,Ingredients!$A$2:$A$200,0)),"")</f>
        <v/>
      </c>
      <c r="D20" s="26">
        <f>SUMIFS(Recipes!$E$2:$E$1000,Recipes!$A$2:$A$1000,D$2,Recipes!$C$2:$C$1000,$B20)</f>
        <v/>
      </c>
      <c r="E20" s="26">
        <f>SUMIFS(Recipes!$E$2:$E$1000,Recipes!$A$2:$A$1000,E$2,Recipes!$C$2:$C$1000,$B20)</f>
        <v/>
      </c>
      <c r="F20" s="26">
        <f>SUMIFS(Recipes!$E$2:$E$1000,Recipes!$A$2:$A$1000,F$2,Recipes!$C$2:$C$1000,$B20)</f>
        <v/>
      </c>
      <c r="G20" s="26">
        <f>SUMIFS(Recipes!$E$2:$E$1000,Recipes!$A$2:$A$1000,G$2,Recipes!$C$2:$C$1000,$B20)</f>
        <v/>
      </c>
      <c r="H20" s="26">
        <f>SUMIFS(Recipes!$E$2:$E$1000,Recipes!$A$2:$A$1000,H$2,Recipes!$C$2:$C$1000,$B20)</f>
        <v/>
      </c>
      <c r="I20" s="26">
        <f>SUMIFS(Recipes!$E$2:$E$1000,Recipes!$A$2:$A$1000,I$2,Recipes!$C$2:$C$1000,$B20)</f>
        <v/>
      </c>
      <c r="J20" s="26">
        <f>SUMIFS(Recipes!$E$2:$E$1000,Recipes!$A$2:$A$1000,J$2,Recipes!$C$2:$C$1000,$B20)</f>
        <v/>
      </c>
      <c r="K20" s="26">
        <f>SUMIFS(Recipes!$E$2:$E$1000,Recipes!$A$2:$A$1000,K$2,Recipes!$C$2:$C$1000,$B20)</f>
        <v/>
      </c>
      <c r="L20" s="26">
        <f>SUMIFS(Recipes!$E$2:$E$1000,Recipes!$A$2:$A$1000,L$2,Recipes!$C$2:$C$1000,$B20)</f>
        <v/>
      </c>
      <c r="M20" s="26">
        <f>SUMIFS(Recipes!$E$2:$E$1000,Recipes!$A$2:$A$1000,M$2,Recipes!$C$2:$C$1000,$B20)</f>
        <v/>
      </c>
      <c r="N20" s="26">
        <f>SUMIFS(Recipes!$E$2:$E$1000,Recipes!$A$2:$A$1000,N$2,Recipes!$C$2:$C$1000,$B20)</f>
        <v/>
      </c>
      <c r="O20" s="26">
        <f>SUMIFS(Recipes!$E$2:$E$1000,Recipes!$A$2:$A$1000,O$2,Recipes!$C$2:$C$1000,$B20)</f>
        <v/>
      </c>
    </row>
    <row r="21">
      <c r="A21" s="24">
        <f>IFERROR(INDEX(Ingredients!$B$2:$B$200,MATCH($B21,Ingredients!$A$2:$A$200,0)),"")</f>
        <v/>
      </c>
      <c r="B21" s="25" t="inlineStr">
        <is>
          <t>ING-019</t>
        </is>
      </c>
      <c r="C21" s="24">
        <f>IFERROR(INDEX(Ingredients!$D$2:$D$200,MATCH($B21,Ingredients!$A$2:$A$200,0)),"")</f>
        <v/>
      </c>
      <c r="D21" s="26">
        <f>SUMIFS(Recipes!$E$2:$E$1000,Recipes!$A$2:$A$1000,D$2,Recipes!$C$2:$C$1000,$B21)</f>
        <v/>
      </c>
      <c r="E21" s="26">
        <f>SUMIFS(Recipes!$E$2:$E$1000,Recipes!$A$2:$A$1000,E$2,Recipes!$C$2:$C$1000,$B21)</f>
        <v/>
      </c>
      <c r="F21" s="26">
        <f>SUMIFS(Recipes!$E$2:$E$1000,Recipes!$A$2:$A$1000,F$2,Recipes!$C$2:$C$1000,$B21)</f>
        <v/>
      </c>
      <c r="G21" s="26">
        <f>SUMIFS(Recipes!$E$2:$E$1000,Recipes!$A$2:$A$1000,G$2,Recipes!$C$2:$C$1000,$B21)</f>
        <v/>
      </c>
      <c r="H21" s="26">
        <f>SUMIFS(Recipes!$E$2:$E$1000,Recipes!$A$2:$A$1000,H$2,Recipes!$C$2:$C$1000,$B21)</f>
        <v/>
      </c>
      <c r="I21" s="26">
        <f>SUMIFS(Recipes!$E$2:$E$1000,Recipes!$A$2:$A$1000,I$2,Recipes!$C$2:$C$1000,$B21)</f>
        <v/>
      </c>
      <c r="J21" s="26">
        <f>SUMIFS(Recipes!$E$2:$E$1000,Recipes!$A$2:$A$1000,J$2,Recipes!$C$2:$C$1000,$B21)</f>
        <v/>
      </c>
      <c r="K21" s="26">
        <f>SUMIFS(Recipes!$E$2:$E$1000,Recipes!$A$2:$A$1000,K$2,Recipes!$C$2:$C$1000,$B21)</f>
        <v/>
      </c>
      <c r="L21" s="26">
        <f>SUMIFS(Recipes!$E$2:$E$1000,Recipes!$A$2:$A$1000,L$2,Recipes!$C$2:$C$1000,$B21)</f>
        <v/>
      </c>
      <c r="M21" s="26">
        <f>SUMIFS(Recipes!$E$2:$E$1000,Recipes!$A$2:$A$1000,M$2,Recipes!$C$2:$C$1000,$B21)</f>
        <v/>
      </c>
      <c r="N21" s="26">
        <f>SUMIFS(Recipes!$E$2:$E$1000,Recipes!$A$2:$A$1000,N$2,Recipes!$C$2:$C$1000,$B21)</f>
        <v/>
      </c>
      <c r="O21" s="26">
        <f>SUMIFS(Recipes!$E$2:$E$1000,Recipes!$A$2:$A$1000,O$2,Recipes!$C$2:$C$1000,$B21)</f>
        <v/>
      </c>
    </row>
    <row r="22">
      <c r="A22" s="24">
        <f>IFERROR(INDEX(Ingredients!$B$2:$B$200,MATCH($B22,Ingredients!$A$2:$A$200,0)),"")</f>
        <v/>
      </c>
      <c r="B22" s="25" t="inlineStr">
        <is>
          <t>ING-020</t>
        </is>
      </c>
      <c r="C22" s="24">
        <f>IFERROR(INDEX(Ingredients!$D$2:$D$200,MATCH($B22,Ingredients!$A$2:$A$200,0)),"")</f>
        <v/>
      </c>
      <c r="D22" s="26">
        <f>SUMIFS(Recipes!$E$2:$E$1000,Recipes!$A$2:$A$1000,D$2,Recipes!$C$2:$C$1000,$B22)</f>
        <v/>
      </c>
      <c r="E22" s="26">
        <f>SUMIFS(Recipes!$E$2:$E$1000,Recipes!$A$2:$A$1000,E$2,Recipes!$C$2:$C$1000,$B22)</f>
        <v/>
      </c>
      <c r="F22" s="26">
        <f>SUMIFS(Recipes!$E$2:$E$1000,Recipes!$A$2:$A$1000,F$2,Recipes!$C$2:$C$1000,$B22)</f>
        <v/>
      </c>
      <c r="G22" s="26">
        <f>SUMIFS(Recipes!$E$2:$E$1000,Recipes!$A$2:$A$1000,G$2,Recipes!$C$2:$C$1000,$B22)</f>
        <v/>
      </c>
      <c r="H22" s="26">
        <f>SUMIFS(Recipes!$E$2:$E$1000,Recipes!$A$2:$A$1000,H$2,Recipes!$C$2:$C$1000,$B22)</f>
        <v/>
      </c>
      <c r="I22" s="26">
        <f>SUMIFS(Recipes!$E$2:$E$1000,Recipes!$A$2:$A$1000,I$2,Recipes!$C$2:$C$1000,$B22)</f>
        <v/>
      </c>
      <c r="J22" s="26">
        <f>SUMIFS(Recipes!$E$2:$E$1000,Recipes!$A$2:$A$1000,J$2,Recipes!$C$2:$C$1000,$B22)</f>
        <v/>
      </c>
      <c r="K22" s="26">
        <f>SUMIFS(Recipes!$E$2:$E$1000,Recipes!$A$2:$A$1000,K$2,Recipes!$C$2:$C$1000,$B22)</f>
        <v/>
      </c>
      <c r="L22" s="26">
        <f>SUMIFS(Recipes!$E$2:$E$1000,Recipes!$A$2:$A$1000,L$2,Recipes!$C$2:$C$1000,$B22)</f>
        <v/>
      </c>
      <c r="M22" s="26">
        <f>SUMIFS(Recipes!$E$2:$E$1000,Recipes!$A$2:$A$1000,M$2,Recipes!$C$2:$C$1000,$B22)</f>
        <v/>
      </c>
      <c r="N22" s="26">
        <f>SUMIFS(Recipes!$E$2:$E$1000,Recipes!$A$2:$A$1000,N$2,Recipes!$C$2:$C$1000,$B22)</f>
        <v/>
      </c>
      <c r="O22" s="26">
        <f>SUMIFS(Recipes!$E$2:$E$1000,Recipes!$A$2:$A$1000,O$2,Recipes!$C$2:$C$1000,$B22)</f>
        <v/>
      </c>
    </row>
    <row r="23">
      <c r="A23" s="24">
        <f>IFERROR(INDEX(Ingredients!$B$2:$B$200,MATCH($B23,Ingredients!$A$2:$A$200,0)),"")</f>
        <v/>
      </c>
      <c r="B23" s="25" t="inlineStr">
        <is>
          <t>ING-021</t>
        </is>
      </c>
      <c r="C23" s="24">
        <f>IFERROR(INDEX(Ingredients!$D$2:$D$200,MATCH($B23,Ingredients!$A$2:$A$200,0)),"")</f>
        <v/>
      </c>
      <c r="D23" s="26">
        <f>SUMIFS(Recipes!$E$2:$E$1000,Recipes!$A$2:$A$1000,D$2,Recipes!$C$2:$C$1000,$B23)</f>
        <v/>
      </c>
      <c r="E23" s="26">
        <f>SUMIFS(Recipes!$E$2:$E$1000,Recipes!$A$2:$A$1000,E$2,Recipes!$C$2:$C$1000,$B23)</f>
        <v/>
      </c>
      <c r="F23" s="26">
        <f>SUMIFS(Recipes!$E$2:$E$1000,Recipes!$A$2:$A$1000,F$2,Recipes!$C$2:$C$1000,$B23)</f>
        <v/>
      </c>
      <c r="G23" s="26">
        <f>SUMIFS(Recipes!$E$2:$E$1000,Recipes!$A$2:$A$1000,G$2,Recipes!$C$2:$C$1000,$B23)</f>
        <v/>
      </c>
      <c r="H23" s="26">
        <f>SUMIFS(Recipes!$E$2:$E$1000,Recipes!$A$2:$A$1000,H$2,Recipes!$C$2:$C$1000,$B23)</f>
        <v/>
      </c>
      <c r="I23" s="26">
        <f>SUMIFS(Recipes!$E$2:$E$1000,Recipes!$A$2:$A$1000,I$2,Recipes!$C$2:$C$1000,$B23)</f>
        <v/>
      </c>
      <c r="J23" s="26">
        <f>SUMIFS(Recipes!$E$2:$E$1000,Recipes!$A$2:$A$1000,J$2,Recipes!$C$2:$C$1000,$B23)</f>
        <v/>
      </c>
      <c r="K23" s="26">
        <f>SUMIFS(Recipes!$E$2:$E$1000,Recipes!$A$2:$A$1000,K$2,Recipes!$C$2:$C$1000,$B23)</f>
        <v/>
      </c>
      <c r="L23" s="26">
        <f>SUMIFS(Recipes!$E$2:$E$1000,Recipes!$A$2:$A$1000,L$2,Recipes!$C$2:$C$1000,$B23)</f>
        <v/>
      </c>
      <c r="M23" s="26">
        <f>SUMIFS(Recipes!$E$2:$E$1000,Recipes!$A$2:$A$1000,M$2,Recipes!$C$2:$C$1000,$B23)</f>
        <v/>
      </c>
      <c r="N23" s="26">
        <f>SUMIFS(Recipes!$E$2:$E$1000,Recipes!$A$2:$A$1000,N$2,Recipes!$C$2:$C$1000,$B23)</f>
        <v/>
      </c>
      <c r="O23" s="26">
        <f>SUMIFS(Recipes!$E$2:$E$1000,Recipes!$A$2:$A$1000,O$2,Recipes!$C$2:$C$1000,$B23)</f>
        <v/>
      </c>
    </row>
    <row r="24">
      <c r="A24" s="24">
        <f>IFERROR(INDEX(Ingredients!$B$2:$B$200,MATCH($B24,Ingredients!$A$2:$A$200,0)),"")</f>
        <v/>
      </c>
      <c r="B24" s="25" t="inlineStr">
        <is>
          <t>ING-022</t>
        </is>
      </c>
      <c r="C24" s="24">
        <f>IFERROR(INDEX(Ingredients!$D$2:$D$200,MATCH($B24,Ingredients!$A$2:$A$200,0)),"")</f>
        <v/>
      </c>
      <c r="D24" s="26">
        <f>SUMIFS(Recipes!$E$2:$E$1000,Recipes!$A$2:$A$1000,D$2,Recipes!$C$2:$C$1000,$B24)</f>
        <v/>
      </c>
      <c r="E24" s="26">
        <f>SUMIFS(Recipes!$E$2:$E$1000,Recipes!$A$2:$A$1000,E$2,Recipes!$C$2:$C$1000,$B24)</f>
        <v/>
      </c>
      <c r="F24" s="26">
        <f>SUMIFS(Recipes!$E$2:$E$1000,Recipes!$A$2:$A$1000,F$2,Recipes!$C$2:$C$1000,$B24)</f>
        <v/>
      </c>
      <c r="G24" s="26">
        <f>SUMIFS(Recipes!$E$2:$E$1000,Recipes!$A$2:$A$1000,G$2,Recipes!$C$2:$C$1000,$B24)</f>
        <v/>
      </c>
      <c r="H24" s="26">
        <f>SUMIFS(Recipes!$E$2:$E$1000,Recipes!$A$2:$A$1000,H$2,Recipes!$C$2:$C$1000,$B24)</f>
        <v/>
      </c>
      <c r="I24" s="26">
        <f>SUMIFS(Recipes!$E$2:$E$1000,Recipes!$A$2:$A$1000,I$2,Recipes!$C$2:$C$1000,$B24)</f>
        <v/>
      </c>
      <c r="J24" s="26">
        <f>SUMIFS(Recipes!$E$2:$E$1000,Recipes!$A$2:$A$1000,J$2,Recipes!$C$2:$C$1000,$B24)</f>
        <v/>
      </c>
      <c r="K24" s="26">
        <f>SUMIFS(Recipes!$E$2:$E$1000,Recipes!$A$2:$A$1000,K$2,Recipes!$C$2:$C$1000,$B24)</f>
        <v/>
      </c>
      <c r="L24" s="26">
        <f>SUMIFS(Recipes!$E$2:$E$1000,Recipes!$A$2:$A$1000,L$2,Recipes!$C$2:$C$1000,$B24)</f>
        <v/>
      </c>
      <c r="M24" s="26">
        <f>SUMIFS(Recipes!$E$2:$E$1000,Recipes!$A$2:$A$1000,M$2,Recipes!$C$2:$C$1000,$B24)</f>
        <v/>
      </c>
      <c r="N24" s="26">
        <f>SUMIFS(Recipes!$E$2:$E$1000,Recipes!$A$2:$A$1000,N$2,Recipes!$C$2:$C$1000,$B24)</f>
        <v/>
      </c>
      <c r="O24" s="26">
        <f>SUMIFS(Recipes!$E$2:$E$1000,Recipes!$A$2:$A$1000,O$2,Recipes!$C$2:$C$1000,$B24)</f>
        <v/>
      </c>
    </row>
    <row r="25">
      <c r="A25" s="24">
        <f>IFERROR(INDEX(Ingredients!$B$2:$B$200,MATCH($B25,Ingredients!$A$2:$A$200,0)),"")</f>
        <v/>
      </c>
      <c r="B25" s="25" t="inlineStr">
        <is>
          <t>ING-023</t>
        </is>
      </c>
      <c r="C25" s="24">
        <f>IFERROR(INDEX(Ingredients!$D$2:$D$200,MATCH($B25,Ingredients!$A$2:$A$200,0)),"")</f>
        <v/>
      </c>
      <c r="D25" s="26">
        <f>SUMIFS(Recipes!$E$2:$E$1000,Recipes!$A$2:$A$1000,D$2,Recipes!$C$2:$C$1000,$B25)</f>
        <v/>
      </c>
      <c r="E25" s="26">
        <f>SUMIFS(Recipes!$E$2:$E$1000,Recipes!$A$2:$A$1000,E$2,Recipes!$C$2:$C$1000,$B25)</f>
        <v/>
      </c>
      <c r="F25" s="26">
        <f>SUMIFS(Recipes!$E$2:$E$1000,Recipes!$A$2:$A$1000,F$2,Recipes!$C$2:$C$1000,$B25)</f>
        <v/>
      </c>
      <c r="G25" s="26">
        <f>SUMIFS(Recipes!$E$2:$E$1000,Recipes!$A$2:$A$1000,G$2,Recipes!$C$2:$C$1000,$B25)</f>
        <v/>
      </c>
      <c r="H25" s="26">
        <f>SUMIFS(Recipes!$E$2:$E$1000,Recipes!$A$2:$A$1000,H$2,Recipes!$C$2:$C$1000,$B25)</f>
        <v/>
      </c>
      <c r="I25" s="26">
        <f>SUMIFS(Recipes!$E$2:$E$1000,Recipes!$A$2:$A$1000,I$2,Recipes!$C$2:$C$1000,$B25)</f>
        <v/>
      </c>
      <c r="J25" s="26">
        <f>SUMIFS(Recipes!$E$2:$E$1000,Recipes!$A$2:$A$1000,J$2,Recipes!$C$2:$C$1000,$B25)</f>
        <v/>
      </c>
      <c r="K25" s="26">
        <f>SUMIFS(Recipes!$E$2:$E$1000,Recipes!$A$2:$A$1000,K$2,Recipes!$C$2:$C$1000,$B25)</f>
        <v/>
      </c>
      <c r="L25" s="26">
        <f>SUMIFS(Recipes!$E$2:$E$1000,Recipes!$A$2:$A$1000,L$2,Recipes!$C$2:$C$1000,$B25)</f>
        <v/>
      </c>
      <c r="M25" s="26">
        <f>SUMIFS(Recipes!$E$2:$E$1000,Recipes!$A$2:$A$1000,M$2,Recipes!$C$2:$C$1000,$B25)</f>
        <v/>
      </c>
      <c r="N25" s="26">
        <f>SUMIFS(Recipes!$E$2:$E$1000,Recipes!$A$2:$A$1000,N$2,Recipes!$C$2:$C$1000,$B25)</f>
        <v/>
      </c>
      <c r="O25" s="26">
        <f>SUMIFS(Recipes!$E$2:$E$1000,Recipes!$A$2:$A$1000,O$2,Recipes!$C$2:$C$1000,$B25)</f>
        <v/>
      </c>
    </row>
    <row r="26">
      <c r="A26" s="24">
        <f>IFERROR(INDEX(Ingredients!$B$2:$B$200,MATCH($B26,Ingredients!$A$2:$A$200,0)),"")</f>
        <v/>
      </c>
      <c r="B26" s="25" t="inlineStr">
        <is>
          <t>ING-024</t>
        </is>
      </c>
      <c r="C26" s="24">
        <f>IFERROR(INDEX(Ingredients!$D$2:$D$200,MATCH($B26,Ingredients!$A$2:$A$200,0)),"")</f>
        <v/>
      </c>
      <c r="D26" s="26">
        <f>SUMIFS(Recipes!$E$2:$E$1000,Recipes!$A$2:$A$1000,D$2,Recipes!$C$2:$C$1000,$B26)</f>
        <v/>
      </c>
      <c r="E26" s="26">
        <f>SUMIFS(Recipes!$E$2:$E$1000,Recipes!$A$2:$A$1000,E$2,Recipes!$C$2:$C$1000,$B26)</f>
        <v/>
      </c>
      <c r="F26" s="26">
        <f>SUMIFS(Recipes!$E$2:$E$1000,Recipes!$A$2:$A$1000,F$2,Recipes!$C$2:$C$1000,$B26)</f>
        <v/>
      </c>
      <c r="G26" s="26">
        <f>SUMIFS(Recipes!$E$2:$E$1000,Recipes!$A$2:$A$1000,G$2,Recipes!$C$2:$C$1000,$B26)</f>
        <v/>
      </c>
      <c r="H26" s="26">
        <f>SUMIFS(Recipes!$E$2:$E$1000,Recipes!$A$2:$A$1000,H$2,Recipes!$C$2:$C$1000,$B26)</f>
        <v/>
      </c>
      <c r="I26" s="26">
        <f>SUMIFS(Recipes!$E$2:$E$1000,Recipes!$A$2:$A$1000,I$2,Recipes!$C$2:$C$1000,$B26)</f>
        <v/>
      </c>
      <c r="J26" s="26">
        <f>SUMIFS(Recipes!$E$2:$E$1000,Recipes!$A$2:$A$1000,J$2,Recipes!$C$2:$C$1000,$B26)</f>
        <v/>
      </c>
      <c r="K26" s="26">
        <f>SUMIFS(Recipes!$E$2:$E$1000,Recipes!$A$2:$A$1000,K$2,Recipes!$C$2:$C$1000,$B26)</f>
        <v/>
      </c>
      <c r="L26" s="26">
        <f>SUMIFS(Recipes!$E$2:$E$1000,Recipes!$A$2:$A$1000,L$2,Recipes!$C$2:$C$1000,$B26)</f>
        <v/>
      </c>
      <c r="M26" s="26">
        <f>SUMIFS(Recipes!$E$2:$E$1000,Recipes!$A$2:$A$1000,M$2,Recipes!$C$2:$C$1000,$B26)</f>
        <v/>
      </c>
      <c r="N26" s="26">
        <f>SUMIFS(Recipes!$E$2:$E$1000,Recipes!$A$2:$A$1000,N$2,Recipes!$C$2:$C$1000,$B26)</f>
        <v/>
      </c>
      <c r="O26" s="26">
        <f>SUMIFS(Recipes!$E$2:$E$1000,Recipes!$A$2:$A$1000,O$2,Recipes!$C$2:$C$1000,$B26)</f>
        <v/>
      </c>
    </row>
    <row r="27">
      <c r="A27" s="24">
        <f>IFERROR(INDEX(Ingredients!$B$2:$B$200,MATCH($B27,Ingredients!$A$2:$A$200,0)),"")</f>
        <v/>
      </c>
      <c r="B27" s="25" t="inlineStr">
        <is>
          <t>ING-025</t>
        </is>
      </c>
      <c r="C27" s="24">
        <f>IFERROR(INDEX(Ingredients!$D$2:$D$200,MATCH($B27,Ingredients!$A$2:$A$200,0)),"")</f>
        <v/>
      </c>
      <c r="D27" s="26">
        <f>SUMIFS(Recipes!$E$2:$E$1000,Recipes!$A$2:$A$1000,D$2,Recipes!$C$2:$C$1000,$B27)</f>
        <v/>
      </c>
      <c r="E27" s="26">
        <f>SUMIFS(Recipes!$E$2:$E$1000,Recipes!$A$2:$A$1000,E$2,Recipes!$C$2:$C$1000,$B27)</f>
        <v/>
      </c>
      <c r="F27" s="26">
        <f>SUMIFS(Recipes!$E$2:$E$1000,Recipes!$A$2:$A$1000,F$2,Recipes!$C$2:$C$1000,$B27)</f>
        <v/>
      </c>
      <c r="G27" s="26">
        <f>SUMIFS(Recipes!$E$2:$E$1000,Recipes!$A$2:$A$1000,G$2,Recipes!$C$2:$C$1000,$B27)</f>
        <v/>
      </c>
      <c r="H27" s="26">
        <f>SUMIFS(Recipes!$E$2:$E$1000,Recipes!$A$2:$A$1000,H$2,Recipes!$C$2:$C$1000,$B27)</f>
        <v/>
      </c>
      <c r="I27" s="26">
        <f>SUMIFS(Recipes!$E$2:$E$1000,Recipes!$A$2:$A$1000,I$2,Recipes!$C$2:$C$1000,$B27)</f>
        <v/>
      </c>
      <c r="J27" s="26">
        <f>SUMIFS(Recipes!$E$2:$E$1000,Recipes!$A$2:$A$1000,J$2,Recipes!$C$2:$C$1000,$B27)</f>
        <v/>
      </c>
      <c r="K27" s="26">
        <f>SUMIFS(Recipes!$E$2:$E$1000,Recipes!$A$2:$A$1000,K$2,Recipes!$C$2:$C$1000,$B27)</f>
        <v/>
      </c>
      <c r="L27" s="26">
        <f>SUMIFS(Recipes!$E$2:$E$1000,Recipes!$A$2:$A$1000,L$2,Recipes!$C$2:$C$1000,$B27)</f>
        <v/>
      </c>
      <c r="M27" s="26">
        <f>SUMIFS(Recipes!$E$2:$E$1000,Recipes!$A$2:$A$1000,M$2,Recipes!$C$2:$C$1000,$B27)</f>
        <v/>
      </c>
      <c r="N27" s="26">
        <f>SUMIFS(Recipes!$E$2:$E$1000,Recipes!$A$2:$A$1000,N$2,Recipes!$C$2:$C$1000,$B27)</f>
        <v/>
      </c>
      <c r="O27" s="26">
        <f>SUMIFS(Recipes!$E$2:$E$1000,Recipes!$A$2:$A$1000,O$2,Recipes!$C$2:$C$1000,$B27)</f>
        <v/>
      </c>
    </row>
    <row r="28">
      <c r="A28" s="24">
        <f>IFERROR(INDEX(Ingredients!$B$2:$B$200,MATCH($B28,Ingredients!$A$2:$A$200,0)),"")</f>
        <v/>
      </c>
      <c r="B28" s="25" t="inlineStr">
        <is>
          <t>ING-026</t>
        </is>
      </c>
      <c r="C28" s="24">
        <f>IFERROR(INDEX(Ingredients!$D$2:$D$200,MATCH($B28,Ingredients!$A$2:$A$200,0)),"")</f>
        <v/>
      </c>
      <c r="D28" s="26">
        <f>SUMIFS(Recipes!$E$2:$E$1000,Recipes!$A$2:$A$1000,D$2,Recipes!$C$2:$C$1000,$B28)</f>
        <v/>
      </c>
      <c r="E28" s="26">
        <f>SUMIFS(Recipes!$E$2:$E$1000,Recipes!$A$2:$A$1000,E$2,Recipes!$C$2:$C$1000,$B28)</f>
        <v/>
      </c>
      <c r="F28" s="26">
        <f>SUMIFS(Recipes!$E$2:$E$1000,Recipes!$A$2:$A$1000,F$2,Recipes!$C$2:$C$1000,$B28)</f>
        <v/>
      </c>
      <c r="G28" s="26">
        <f>SUMIFS(Recipes!$E$2:$E$1000,Recipes!$A$2:$A$1000,G$2,Recipes!$C$2:$C$1000,$B28)</f>
        <v/>
      </c>
      <c r="H28" s="26">
        <f>SUMIFS(Recipes!$E$2:$E$1000,Recipes!$A$2:$A$1000,H$2,Recipes!$C$2:$C$1000,$B28)</f>
        <v/>
      </c>
      <c r="I28" s="26">
        <f>SUMIFS(Recipes!$E$2:$E$1000,Recipes!$A$2:$A$1000,I$2,Recipes!$C$2:$C$1000,$B28)</f>
        <v/>
      </c>
      <c r="J28" s="26">
        <f>SUMIFS(Recipes!$E$2:$E$1000,Recipes!$A$2:$A$1000,J$2,Recipes!$C$2:$C$1000,$B28)</f>
        <v/>
      </c>
      <c r="K28" s="26">
        <f>SUMIFS(Recipes!$E$2:$E$1000,Recipes!$A$2:$A$1000,K$2,Recipes!$C$2:$C$1000,$B28)</f>
        <v/>
      </c>
      <c r="L28" s="26">
        <f>SUMIFS(Recipes!$E$2:$E$1000,Recipes!$A$2:$A$1000,L$2,Recipes!$C$2:$C$1000,$B28)</f>
        <v/>
      </c>
      <c r="M28" s="26">
        <f>SUMIFS(Recipes!$E$2:$E$1000,Recipes!$A$2:$A$1000,M$2,Recipes!$C$2:$C$1000,$B28)</f>
        <v/>
      </c>
      <c r="N28" s="26">
        <f>SUMIFS(Recipes!$E$2:$E$1000,Recipes!$A$2:$A$1000,N$2,Recipes!$C$2:$C$1000,$B28)</f>
        <v/>
      </c>
      <c r="O28" s="26">
        <f>SUMIFS(Recipes!$E$2:$E$1000,Recipes!$A$2:$A$1000,O$2,Recipes!$C$2:$C$1000,$B28)</f>
        <v/>
      </c>
    </row>
    <row r="29">
      <c r="A29" s="24">
        <f>IFERROR(INDEX(Ingredients!$B$2:$B$200,MATCH($B29,Ingredients!$A$2:$A$200,0)),"")</f>
        <v/>
      </c>
      <c r="B29" s="25" t="inlineStr">
        <is>
          <t>ING-027</t>
        </is>
      </c>
      <c r="C29" s="24">
        <f>IFERROR(INDEX(Ingredients!$D$2:$D$200,MATCH($B29,Ingredients!$A$2:$A$200,0)),"")</f>
        <v/>
      </c>
      <c r="D29" s="26">
        <f>SUMIFS(Recipes!$E$2:$E$1000,Recipes!$A$2:$A$1000,D$2,Recipes!$C$2:$C$1000,$B29)</f>
        <v/>
      </c>
      <c r="E29" s="26">
        <f>SUMIFS(Recipes!$E$2:$E$1000,Recipes!$A$2:$A$1000,E$2,Recipes!$C$2:$C$1000,$B29)</f>
        <v/>
      </c>
      <c r="F29" s="26">
        <f>SUMIFS(Recipes!$E$2:$E$1000,Recipes!$A$2:$A$1000,F$2,Recipes!$C$2:$C$1000,$B29)</f>
        <v/>
      </c>
      <c r="G29" s="26">
        <f>SUMIFS(Recipes!$E$2:$E$1000,Recipes!$A$2:$A$1000,G$2,Recipes!$C$2:$C$1000,$B29)</f>
        <v/>
      </c>
      <c r="H29" s="26">
        <f>SUMIFS(Recipes!$E$2:$E$1000,Recipes!$A$2:$A$1000,H$2,Recipes!$C$2:$C$1000,$B29)</f>
        <v/>
      </c>
      <c r="I29" s="26">
        <f>SUMIFS(Recipes!$E$2:$E$1000,Recipes!$A$2:$A$1000,I$2,Recipes!$C$2:$C$1000,$B29)</f>
        <v/>
      </c>
      <c r="J29" s="26">
        <f>SUMIFS(Recipes!$E$2:$E$1000,Recipes!$A$2:$A$1000,J$2,Recipes!$C$2:$C$1000,$B29)</f>
        <v/>
      </c>
      <c r="K29" s="26">
        <f>SUMIFS(Recipes!$E$2:$E$1000,Recipes!$A$2:$A$1000,K$2,Recipes!$C$2:$C$1000,$B29)</f>
        <v/>
      </c>
      <c r="L29" s="26">
        <f>SUMIFS(Recipes!$E$2:$E$1000,Recipes!$A$2:$A$1000,L$2,Recipes!$C$2:$C$1000,$B29)</f>
        <v/>
      </c>
      <c r="M29" s="26">
        <f>SUMIFS(Recipes!$E$2:$E$1000,Recipes!$A$2:$A$1000,M$2,Recipes!$C$2:$C$1000,$B29)</f>
        <v/>
      </c>
      <c r="N29" s="26">
        <f>SUMIFS(Recipes!$E$2:$E$1000,Recipes!$A$2:$A$1000,N$2,Recipes!$C$2:$C$1000,$B29)</f>
        <v/>
      </c>
      <c r="O29" s="26">
        <f>SUMIFS(Recipes!$E$2:$E$1000,Recipes!$A$2:$A$1000,O$2,Recipes!$C$2:$C$1000,$B29)</f>
        <v/>
      </c>
    </row>
    <row r="30">
      <c r="A30" s="24">
        <f>IFERROR(INDEX(Ingredients!$B$2:$B$200,MATCH($B30,Ingredients!$A$2:$A$200,0)),"")</f>
        <v/>
      </c>
      <c r="B30" s="25" t="inlineStr">
        <is>
          <t>ING-028</t>
        </is>
      </c>
      <c r="C30" s="24">
        <f>IFERROR(INDEX(Ingredients!$D$2:$D$200,MATCH($B30,Ingredients!$A$2:$A$200,0)),"")</f>
        <v/>
      </c>
      <c r="D30" s="26">
        <f>SUMIFS(Recipes!$E$2:$E$1000,Recipes!$A$2:$A$1000,D$2,Recipes!$C$2:$C$1000,$B30)</f>
        <v/>
      </c>
      <c r="E30" s="26">
        <f>SUMIFS(Recipes!$E$2:$E$1000,Recipes!$A$2:$A$1000,E$2,Recipes!$C$2:$C$1000,$B30)</f>
        <v/>
      </c>
      <c r="F30" s="26">
        <f>SUMIFS(Recipes!$E$2:$E$1000,Recipes!$A$2:$A$1000,F$2,Recipes!$C$2:$C$1000,$B30)</f>
        <v/>
      </c>
      <c r="G30" s="26">
        <f>SUMIFS(Recipes!$E$2:$E$1000,Recipes!$A$2:$A$1000,G$2,Recipes!$C$2:$C$1000,$B30)</f>
        <v/>
      </c>
      <c r="H30" s="26">
        <f>SUMIFS(Recipes!$E$2:$E$1000,Recipes!$A$2:$A$1000,H$2,Recipes!$C$2:$C$1000,$B30)</f>
        <v/>
      </c>
      <c r="I30" s="26">
        <f>SUMIFS(Recipes!$E$2:$E$1000,Recipes!$A$2:$A$1000,I$2,Recipes!$C$2:$C$1000,$B30)</f>
        <v/>
      </c>
      <c r="J30" s="26">
        <f>SUMIFS(Recipes!$E$2:$E$1000,Recipes!$A$2:$A$1000,J$2,Recipes!$C$2:$C$1000,$B30)</f>
        <v/>
      </c>
      <c r="K30" s="26">
        <f>SUMIFS(Recipes!$E$2:$E$1000,Recipes!$A$2:$A$1000,K$2,Recipes!$C$2:$C$1000,$B30)</f>
        <v/>
      </c>
      <c r="L30" s="26">
        <f>SUMIFS(Recipes!$E$2:$E$1000,Recipes!$A$2:$A$1000,L$2,Recipes!$C$2:$C$1000,$B30)</f>
        <v/>
      </c>
      <c r="M30" s="26">
        <f>SUMIFS(Recipes!$E$2:$E$1000,Recipes!$A$2:$A$1000,M$2,Recipes!$C$2:$C$1000,$B30)</f>
        <v/>
      </c>
      <c r="N30" s="26">
        <f>SUMIFS(Recipes!$E$2:$E$1000,Recipes!$A$2:$A$1000,N$2,Recipes!$C$2:$C$1000,$B30)</f>
        <v/>
      </c>
      <c r="O30" s="26">
        <f>SUMIFS(Recipes!$E$2:$E$1000,Recipes!$A$2:$A$1000,O$2,Recipes!$C$2:$C$1000,$B30)</f>
        <v/>
      </c>
    </row>
    <row r="31">
      <c r="A31" s="24">
        <f>IFERROR(INDEX(Ingredients!$B$2:$B$200,MATCH($B31,Ingredients!$A$2:$A$200,0)),"")</f>
        <v/>
      </c>
      <c r="B31" s="25" t="inlineStr">
        <is>
          <t>ING-029</t>
        </is>
      </c>
      <c r="C31" s="24">
        <f>IFERROR(INDEX(Ingredients!$D$2:$D$200,MATCH($B31,Ingredients!$A$2:$A$200,0)),"")</f>
        <v/>
      </c>
      <c r="D31" s="26">
        <f>SUMIFS(Recipes!$E$2:$E$1000,Recipes!$A$2:$A$1000,D$2,Recipes!$C$2:$C$1000,$B31)</f>
        <v/>
      </c>
      <c r="E31" s="26">
        <f>SUMIFS(Recipes!$E$2:$E$1000,Recipes!$A$2:$A$1000,E$2,Recipes!$C$2:$C$1000,$B31)</f>
        <v/>
      </c>
      <c r="F31" s="26">
        <f>SUMIFS(Recipes!$E$2:$E$1000,Recipes!$A$2:$A$1000,F$2,Recipes!$C$2:$C$1000,$B31)</f>
        <v/>
      </c>
      <c r="G31" s="26">
        <f>SUMIFS(Recipes!$E$2:$E$1000,Recipes!$A$2:$A$1000,G$2,Recipes!$C$2:$C$1000,$B31)</f>
        <v/>
      </c>
      <c r="H31" s="26">
        <f>SUMIFS(Recipes!$E$2:$E$1000,Recipes!$A$2:$A$1000,H$2,Recipes!$C$2:$C$1000,$B31)</f>
        <v/>
      </c>
      <c r="I31" s="26">
        <f>SUMIFS(Recipes!$E$2:$E$1000,Recipes!$A$2:$A$1000,I$2,Recipes!$C$2:$C$1000,$B31)</f>
        <v/>
      </c>
      <c r="J31" s="26">
        <f>SUMIFS(Recipes!$E$2:$E$1000,Recipes!$A$2:$A$1000,J$2,Recipes!$C$2:$C$1000,$B31)</f>
        <v/>
      </c>
      <c r="K31" s="26">
        <f>SUMIFS(Recipes!$E$2:$E$1000,Recipes!$A$2:$A$1000,K$2,Recipes!$C$2:$C$1000,$B31)</f>
        <v/>
      </c>
      <c r="L31" s="26">
        <f>SUMIFS(Recipes!$E$2:$E$1000,Recipes!$A$2:$A$1000,L$2,Recipes!$C$2:$C$1000,$B31)</f>
        <v/>
      </c>
      <c r="M31" s="26">
        <f>SUMIFS(Recipes!$E$2:$E$1000,Recipes!$A$2:$A$1000,M$2,Recipes!$C$2:$C$1000,$B31)</f>
        <v/>
      </c>
      <c r="N31" s="26">
        <f>SUMIFS(Recipes!$E$2:$E$1000,Recipes!$A$2:$A$1000,N$2,Recipes!$C$2:$C$1000,$B31)</f>
        <v/>
      </c>
      <c r="O31" s="26">
        <f>SUMIFS(Recipes!$E$2:$E$1000,Recipes!$A$2:$A$1000,O$2,Recipes!$C$2:$C$1000,$B31)</f>
        <v/>
      </c>
    </row>
    <row r="32">
      <c r="A32" s="24">
        <f>IFERROR(INDEX(Ingredients!$B$2:$B$200,MATCH($B32,Ingredients!$A$2:$A$200,0)),"")</f>
        <v/>
      </c>
      <c r="B32" s="25" t="inlineStr">
        <is>
          <t>ING-030</t>
        </is>
      </c>
      <c r="C32" s="24">
        <f>IFERROR(INDEX(Ingredients!$D$2:$D$200,MATCH($B32,Ingredients!$A$2:$A$200,0)),"")</f>
        <v/>
      </c>
      <c r="D32" s="26">
        <f>SUMIFS(Recipes!$E$2:$E$1000,Recipes!$A$2:$A$1000,D$2,Recipes!$C$2:$C$1000,$B32)</f>
        <v/>
      </c>
      <c r="E32" s="26">
        <f>SUMIFS(Recipes!$E$2:$E$1000,Recipes!$A$2:$A$1000,E$2,Recipes!$C$2:$C$1000,$B32)</f>
        <v/>
      </c>
      <c r="F32" s="26">
        <f>SUMIFS(Recipes!$E$2:$E$1000,Recipes!$A$2:$A$1000,F$2,Recipes!$C$2:$C$1000,$B32)</f>
        <v/>
      </c>
      <c r="G32" s="26">
        <f>SUMIFS(Recipes!$E$2:$E$1000,Recipes!$A$2:$A$1000,G$2,Recipes!$C$2:$C$1000,$B32)</f>
        <v/>
      </c>
      <c r="H32" s="26">
        <f>SUMIFS(Recipes!$E$2:$E$1000,Recipes!$A$2:$A$1000,H$2,Recipes!$C$2:$C$1000,$B32)</f>
        <v/>
      </c>
      <c r="I32" s="26">
        <f>SUMIFS(Recipes!$E$2:$E$1000,Recipes!$A$2:$A$1000,I$2,Recipes!$C$2:$C$1000,$B32)</f>
        <v/>
      </c>
      <c r="J32" s="26">
        <f>SUMIFS(Recipes!$E$2:$E$1000,Recipes!$A$2:$A$1000,J$2,Recipes!$C$2:$C$1000,$B32)</f>
        <v/>
      </c>
      <c r="K32" s="26">
        <f>SUMIFS(Recipes!$E$2:$E$1000,Recipes!$A$2:$A$1000,K$2,Recipes!$C$2:$C$1000,$B32)</f>
        <v/>
      </c>
      <c r="L32" s="26">
        <f>SUMIFS(Recipes!$E$2:$E$1000,Recipes!$A$2:$A$1000,L$2,Recipes!$C$2:$C$1000,$B32)</f>
        <v/>
      </c>
      <c r="M32" s="26">
        <f>SUMIFS(Recipes!$E$2:$E$1000,Recipes!$A$2:$A$1000,M$2,Recipes!$C$2:$C$1000,$B32)</f>
        <v/>
      </c>
      <c r="N32" s="26">
        <f>SUMIFS(Recipes!$E$2:$E$1000,Recipes!$A$2:$A$1000,N$2,Recipes!$C$2:$C$1000,$B32)</f>
        <v/>
      </c>
      <c r="O32" s="26">
        <f>SUMIFS(Recipes!$E$2:$E$1000,Recipes!$A$2:$A$1000,O$2,Recipes!$C$2:$C$1000,$B32)</f>
        <v/>
      </c>
    </row>
    <row r="33">
      <c r="A33" s="24">
        <f>IFERROR(INDEX(Ingredients!$B$2:$B$200,MATCH($B33,Ingredients!$A$2:$A$200,0)),"")</f>
        <v/>
      </c>
      <c r="B33" s="25" t="inlineStr">
        <is>
          <t>ING-031</t>
        </is>
      </c>
      <c r="C33" s="24">
        <f>IFERROR(INDEX(Ingredients!$D$2:$D$200,MATCH($B33,Ingredients!$A$2:$A$200,0)),"")</f>
        <v/>
      </c>
      <c r="D33" s="26">
        <f>SUMIFS(Recipes!$E$2:$E$1000,Recipes!$A$2:$A$1000,D$2,Recipes!$C$2:$C$1000,$B33)</f>
        <v/>
      </c>
      <c r="E33" s="26">
        <f>SUMIFS(Recipes!$E$2:$E$1000,Recipes!$A$2:$A$1000,E$2,Recipes!$C$2:$C$1000,$B33)</f>
        <v/>
      </c>
      <c r="F33" s="26">
        <f>SUMIFS(Recipes!$E$2:$E$1000,Recipes!$A$2:$A$1000,F$2,Recipes!$C$2:$C$1000,$B33)</f>
        <v/>
      </c>
      <c r="G33" s="26">
        <f>SUMIFS(Recipes!$E$2:$E$1000,Recipes!$A$2:$A$1000,G$2,Recipes!$C$2:$C$1000,$B33)</f>
        <v/>
      </c>
      <c r="H33" s="26">
        <f>SUMIFS(Recipes!$E$2:$E$1000,Recipes!$A$2:$A$1000,H$2,Recipes!$C$2:$C$1000,$B33)</f>
        <v/>
      </c>
      <c r="I33" s="26">
        <f>SUMIFS(Recipes!$E$2:$E$1000,Recipes!$A$2:$A$1000,I$2,Recipes!$C$2:$C$1000,$B33)</f>
        <v/>
      </c>
      <c r="J33" s="26">
        <f>SUMIFS(Recipes!$E$2:$E$1000,Recipes!$A$2:$A$1000,J$2,Recipes!$C$2:$C$1000,$B33)</f>
        <v/>
      </c>
      <c r="K33" s="26">
        <f>SUMIFS(Recipes!$E$2:$E$1000,Recipes!$A$2:$A$1000,K$2,Recipes!$C$2:$C$1000,$B33)</f>
        <v/>
      </c>
      <c r="L33" s="26">
        <f>SUMIFS(Recipes!$E$2:$E$1000,Recipes!$A$2:$A$1000,L$2,Recipes!$C$2:$C$1000,$B33)</f>
        <v/>
      </c>
      <c r="M33" s="26">
        <f>SUMIFS(Recipes!$E$2:$E$1000,Recipes!$A$2:$A$1000,M$2,Recipes!$C$2:$C$1000,$B33)</f>
        <v/>
      </c>
      <c r="N33" s="26">
        <f>SUMIFS(Recipes!$E$2:$E$1000,Recipes!$A$2:$A$1000,N$2,Recipes!$C$2:$C$1000,$B33)</f>
        <v/>
      </c>
      <c r="O33" s="26">
        <f>SUMIFS(Recipes!$E$2:$E$1000,Recipes!$A$2:$A$1000,O$2,Recipes!$C$2:$C$1000,$B33)</f>
        <v/>
      </c>
    </row>
  </sheetData>
  <conditionalFormatting sqref="D3:O33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</cols>
  <sheetData>
    <row r="1" ht="32" customHeight="1">
      <c r="A1" s="5" t="inlineStr">
        <is>
          <t>Supplier</t>
        </is>
      </c>
      <c r="B1" s="5" t="inlineStr">
        <is>
          <t>Ingredient</t>
        </is>
      </c>
      <c r="C1" s="5" t="inlineStr">
        <is>
          <t>Supplier SKU</t>
        </is>
      </c>
      <c r="D1" s="5" t="inlineStr">
        <is>
          <t>Package</t>
        </is>
      </c>
      <c r="E1" s="5" t="inlineStr">
        <is>
          <t>On Hand</t>
        </is>
      </c>
      <c r="F1" s="5" t="inlineStr">
        <is>
          <t>Reorder Point</t>
        </is>
      </c>
      <c r="G1" s="5" t="inlineStr">
        <is>
          <t>Status</t>
        </is>
      </c>
      <c r="H1" s="5" t="inlineStr">
        <is>
          <t>Order (pkgs)</t>
        </is>
      </c>
      <c r="I1" s="5" t="inlineStr">
        <is>
          <t>Lead Time (days)</t>
        </is>
      </c>
      <c r="J1" s="5" t="inlineStr">
        <is>
          <t>Order Cost ($)</t>
        </is>
      </c>
      <c r="K1" s="21" t="inlineStr">
        <is>
          <t>Expected Arrival</t>
        </is>
      </c>
    </row>
    <row r="2">
      <c r="A2" s="18">
        <f>Ingredients!E24</f>
        <v/>
      </c>
      <c r="B2" s="18">
        <f>Ingredients!B24</f>
        <v/>
      </c>
      <c r="C2" s="18">
        <f>Ingredients!F24</f>
        <v/>
      </c>
      <c r="D2" s="18">
        <f>Ingredients!G24</f>
        <v/>
      </c>
      <c r="E2" s="27">
        <f>Ingredients!O24</f>
        <v/>
      </c>
      <c r="F2" s="27">
        <f>Ingredients!P24</f>
        <v/>
      </c>
      <c r="G2" s="18">
        <f>Ingredients!T24</f>
        <v/>
      </c>
      <c r="H2" s="28">
        <f>Ingredients!U24</f>
        <v/>
      </c>
      <c r="I2" s="28">
        <f>Ingredients!L24</f>
        <v/>
      </c>
      <c r="J2" s="29">
        <f>Ingredients!V24</f>
        <v/>
      </c>
      <c r="K2" s="30">
        <f>IF(G2="REORDER",TODAY()+I2,"")</f>
        <v/>
      </c>
    </row>
    <row r="3">
      <c r="A3" s="18">
        <f>Ingredients!E31</f>
        <v/>
      </c>
      <c r="B3" s="18">
        <f>Ingredients!B31</f>
        <v/>
      </c>
      <c r="C3" s="18">
        <f>Ingredients!F31</f>
        <v/>
      </c>
      <c r="D3" s="18">
        <f>Ingredients!G31</f>
        <v/>
      </c>
      <c r="E3" s="27">
        <f>Ingredients!O31</f>
        <v/>
      </c>
      <c r="F3" s="27">
        <f>Ingredients!P31</f>
        <v/>
      </c>
      <c r="G3" s="18">
        <f>Ingredients!T31</f>
        <v/>
      </c>
      <c r="H3" s="28">
        <f>Ingredients!U31</f>
        <v/>
      </c>
      <c r="I3" s="28">
        <f>Ingredients!L31</f>
        <v/>
      </c>
      <c r="J3" s="29">
        <f>Ingredients!V31</f>
        <v/>
      </c>
      <c r="K3" s="30">
        <f>IF(G3="REORDER",TODAY()+I3,"")</f>
        <v/>
      </c>
    </row>
    <row r="4">
      <c r="A4" s="18">
        <f>Ingredients!E32</f>
        <v/>
      </c>
      <c r="B4" s="18">
        <f>Ingredients!B32</f>
        <v/>
      </c>
      <c r="C4" s="18">
        <f>Ingredients!F32</f>
        <v/>
      </c>
      <c r="D4" s="18">
        <f>Ingredients!G32</f>
        <v/>
      </c>
      <c r="E4" s="27">
        <f>Ingredients!O32</f>
        <v/>
      </c>
      <c r="F4" s="27">
        <f>Ingredients!P32</f>
        <v/>
      </c>
      <c r="G4" s="18">
        <f>Ingredients!T32</f>
        <v/>
      </c>
      <c r="H4" s="28">
        <f>Ingredients!U32</f>
        <v/>
      </c>
      <c r="I4" s="28">
        <f>Ingredients!L32</f>
        <v/>
      </c>
      <c r="J4" s="29">
        <f>Ingredients!V32</f>
        <v/>
      </c>
      <c r="K4" s="30">
        <f>IF(G4="REORDER",TODAY()+I4,"")</f>
        <v/>
      </c>
    </row>
    <row r="5">
      <c r="A5" s="18">
        <f>Ingredients!E12</f>
        <v/>
      </c>
      <c r="B5" s="18">
        <f>Ingredients!B12</f>
        <v/>
      </c>
      <c r="C5" s="18">
        <f>Ingredients!F12</f>
        <v/>
      </c>
      <c r="D5" s="18">
        <f>Ingredients!G12</f>
        <v/>
      </c>
      <c r="E5" s="27">
        <f>Ingredients!O12</f>
        <v/>
      </c>
      <c r="F5" s="27">
        <f>Ingredients!P12</f>
        <v/>
      </c>
      <c r="G5" s="18">
        <f>Ingredients!T12</f>
        <v/>
      </c>
      <c r="H5" s="28">
        <f>Ingredients!U12</f>
        <v/>
      </c>
      <c r="I5" s="28">
        <f>Ingredients!L12</f>
        <v/>
      </c>
      <c r="J5" s="29">
        <f>Ingredients!V12</f>
        <v/>
      </c>
      <c r="K5" s="30">
        <f>IF(G5="REORDER",TODAY()+I5,"")</f>
        <v/>
      </c>
    </row>
    <row r="6">
      <c r="A6" s="18">
        <f>Ingredients!E10</f>
        <v/>
      </c>
      <c r="B6" s="18">
        <f>Ingredients!B10</f>
        <v/>
      </c>
      <c r="C6" s="18">
        <f>Ingredients!F10</f>
        <v/>
      </c>
      <c r="D6" s="18">
        <f>Ingredients!G10</f>
        <v/>
      </c>
      <c r="E6" s="27">
        <f>Ingredients!O10</f>
        <v/>
      </c>
      <c r="F6" s="27">
        <f>Ingredients!P10</f>
        <v/>
      </c>
      <c r="G6" s="18">
        <f>Ingredients!T10</f>
        <v/>
      </c>
      <c r="H6" s="28">
        <f>Ingredients!U10</f>
        <v/>
      </c>
      <c r="I6" s="28">
        <f>Ingredients!L10</f>
        <v/>
      </c>
      <c r="J6" s="29">
        <f>Ingredients!V10</f>
        <v/>
      </c>
      <c r="K6" s="30">
        <f>IF(G6="REORDER",TODAY()+I6,"")</f>
        <v/>
      </c>
    </row>
    <row r="7">
      <c r="A7" s="18">
        <f>Ingredients!E11</f>
        <v/>
      </c>
      <c r="B7" s="18">
        <f>Ingredients!B11</f>
        <v/>
      </c>
      <c r="C7" s="18">
        <f>Ingredients!F11</f>
        <v/>
      </c>
      <c r="D7" s="18">
        <f>Ingredients!G11</f>
        <v/>
      </c>
      <c r="E7" s="27">
        <f>Ingredients!O11</f>
        <v/>
      </c>
      <c r="F7" s="27">
        <f>Ingredients!P11</f>
        <v/>
      </c>
      <c r="G7" s="18">
        <f>Ingredients!T11</f>
        <v/>
      </c>
      <c r="H7" s="28">
        <f>Ingredients!U11</f>
        <v/>
      </c>
      <c r="I7" s="28">
        <f>Ingredients!L11</f>
        <v/>
      </c>
      <c r="J7" s="29">
        <f>Ingredients!V11</f>
        <v/>
      </c>
      <c r="K7" s="30">
        <f>IF(G7="REORDER",TODAY()+I7,"")</f>
        <v/>
      </c>
    </row>
    <row r="8">
      <c r="A8" s="18">
        <f>Ingredients!E9</f>
        <v/>
      </c>
      <c r="B8" s="18">
        <f>Ingredients!B9</f>
        <v/>
      </c>
      <c r="C8" s="18">
        <f>Ingredients!F9</f>
        <v/>
      </c>
      <c r="D8" s="18">
        <f>Ingredients!G9</f>
        <v/>
      </c>
      <c r="E8" s="27">
        <f>Ingredients!O9</f>
        <v/>
      </c>
      <c r="F8" s="27">
        <f>Ingredients!P9</f>
        <v/>
      </c>
      <c r="G8" s="18">
        <f>Ingredients!T9</f>
        <v/>
      </c>
      <c r="H8" s="28">
        <f>Ingredients!U9</f>
        <v/>
      </c>
      <c r="I8" s="28">
        <f>Ingredients!L9</f>
        <v/>
      </c>
      <c r="J8" s="29">
        <f>Ingredients!V9</f>
        <v/>
      </c>
      <c r="K8" s="30">
        <f>IF(G8="REORDER",TODAY()+I8,"")</f>
        <v/>
      </c>
    </row>
    <row r="9">
      <c r="A9" s="18">
        <f>Ingredients!E8</f>
        <v/>
      </c>
      <c r="B9" s="18">
        <f>Ingredients!B8</f>
        <v/>
      </c>
      <c r="C9" s="18">
        <f>Ingredients!F8</f>
        <v/>
      </c>
      <c r="D9" s="18">
        <f>Ingredients!G8</f>
        <v/>
      </c>
      <c r="E9" s="27">
        <f>Ingredients!O8</f>
        <v/>
      </c>
      <c r="F9" s="27">
        <f>Ingredients!P8</f>
        <v/>
      </c>
      <c r="G9" s="18">
        <f>Ingredients!T8</f>
        <v/>
      </c>
      <c r="H9" s="28">
        <f>Ingredients!U8</f>
        <v/>
      </c>
      <c r="I9" s="28">
        <f>Ingredients!L8</f>
        <v/>
      </c>
      <c r="J9" s="29">
        <f>Ingredients!V8</f>
        <v/>
      </c>
      <c r="K9" s="30">
        <f>IF(G9="REORDER",TODAY()+I9,"")</f>
        <v/>
      </c>
    </row>
    <row r="10">
      <c r="A10" s="18">
        <f>Ingredients!E20</f>
        <v/>
      </c>
      <c r="B10" s="18">
        <f>Ingredients!B20</f>
        <v/>
      </c>
      <c r="C10" s="18">
        <f>Ingredients!F20</f>
        <v/>
      </c>
      <c r="D10" s="18">
        <f>Ingredients!G20</f>
        <v/>
      </c>
      <c r="E10" s="27">
        <f>Ingredients!O20</f>
        <v/>
      </c>
      <c r="F10" s="27">
        <f>Ingredients!P20</f>
        <v/>
      </c>
      <c r="G10" s="18">
        <f>Ingredients!T20</f>
        <v/>
      </c>
      <c r="H10" s="28">
        <f>Ingredients!U20</f>
        <v/>
      </c>
      <c r="I10" s="28">
        <f>Ingredients!L20</f>
        <v/>
      </c>
      <c r="J10" s="29">
        <f>Ingredients!V20</f>
        <v/>
      </c>
      <c r="K10" s="30">
        <f>IF(G10="REORDER",TODAY()+I10,"")</f>
        <v/>
      </c>
    </row>
    <row r="11">
      <c r="A11" s="18">
        <f>Ingredients!E19</f>
        <v/>
      </c>
      <c r="B11" s="18">
        <f>Ingredients!B19</f>
        <v/>
      </c>
      <c r="C11" s="18">
        <f>Ingredients!F19</f>
        <v/>
      </c>
      <c r="D11" s="18">
        <f>Ingredients!G19</f>
        <v/>
      </c>
      <c r="E11" s="27">
        <f>Ingredients!O19</f>
        <v/>
      </c>
      <c r="F11" s="27">
        <f>Ingredients!P19</f>
        <v/>
      </c>
      <c r="G11" s="18">
        <f>Ingredients!T19</f>
        <v/>
      </c>
      <c r="H11" s="28">
        <f>Ingredients!U19</f>
        <v/>
      </c>
      <c r="I11" s="28">
        <f>Ingredients!L19</f>
        <v/>
      </c>
      <c r="J11" s="29">
        <f>Ingredients!V19</f>
        <v/>
      </c>
      <c r="K11" s="30">
        <f>IF(G11="REORDER",TODAY()+I11,"")</f>
        <v/>
      </c>
    </row>
    <row r="12">
      <c r="A12" s="18">
        <f>Ingredients!E18</f>
        <v/>
      </c>
      <c r="B12" s="18">
        <f>Ingredients!B18</f>
        <v/>
      </c>
      <c r="C12" s="18">
        <f>Ingredients!F18</f>
        <v/>
      </c>
      <c r="D12" s="18">
        <f>Ingredients!G18</f>
        <v/>
      </c>
      <c r="E12" s="27">
        <f>Ingredients!O18</f>
        <v/>
      </c>
      <c r="F12" s="27">
        <f>Ingredients!P18</f>
        <v/>
      </c>
      <c r="G12" s="18">
        <f>Ingredients!T18</f>
        <v/>
      </c>
      <c r="H12" s="28">
        <f>Ingredients!U18</f>
        <v/>
      </c>
      <c r="I12" s="28">
        <f>Ingredients!L18</f>
        <v/>
      </c>
      <c r="J12" s="29">
        <f>Ingredients!V18</f>
        <v/>
      </c>
      <c r="K12" s="30">
        <f>IF(G12="REORDER",TODAY()+I12,"")</f>
        <v/>
      </c>
    </row>
    <row r="13">
      <c r="A13" s="18">
        <f>Ingredients!E17</f>
        <v/>
      </c>
      <c r="B13" s="18">
        <f>Ingredients!B17</f>
        <v/>
      </c>
      <c r="C13" s="18">
        <f>Ingredients!F17</f>
        <v/>
      </c>
      <c r="D13" s="18">
        <f>Ingredients!G17</f>
        <v/>
      </c>
      <c r="E13" s="27">
        <f>Ingredients!O17</f>
        <v/>
      </c>
      <c r="F13" s="27">
        <f>Ingredients!P17</f>
        <v/>
      </c>
      <c r="G13" s="18">
        <f>Ingredients!T17</f>
        <v/>
      </c>
      <c r="H13" s="28">
        <f>Ingredients!U17</f>
        <v/>
      </c>
      <c r="I13" s="28">
        <f>Ingredients!L17</f>
        <v/>
      </c>
      <c r="J13" s="29">
        <f>Ingredients!V17</f>
        <v/>
      </c>
      <c r="K13" s="30">
        <f>IF(G13="REORDER",TODAY()+I13,"")</f>
        <v/>
      </c>
    </row>
    <row r="14">
      <c r="A14" s="18">
        <f>Ingredients!E21</f>
        <v/>
      </c>
      <c r="B14" s="18">
        <f>Ingredients!B21</f>
        <v/>
      </c>
      <c r="C14" s="18">
        <f>Ingredients!F21</f>
        <v/>
      </c>
      <c r="D14" s="18">
        <f>Ingredients!G21</f>
        <v/>
      </c>
      <c r="E14" s="27">
        <f>Ingredients!O21</f>
        <v/>
      </c>
      <c r="F14" s="27">
        <f>Ingredients!P21</f>
        <v/>
      </c>
      <c r="G14" s="18">
        <f>Ingredients!T21</f>
        <v/>
      </c>
      <c r="H14" s="28">
        <f>Ingredients!U21</f>
        <v/>
      </c>
      <c r="I14" s="28">
        <f>Ingredients!L21</f>
        <v/>
      </c>
      <c r="J14" s="29">
        <f>Ingredients!V21</f>
        <v/>
      </c>
      <c r="K14" s="30">
        <f>IF(G14="REORDER",TODAY()+I14,"")</f>
        <v/>
      </c>
    </row>
    <row r="15">
      <c r="A15" s="18">
        <f>Ingredients!E16</f>
        <v/>
      </c>
      <c r="B15" s="18">
        <f>Ingredients!B16</f>
        <v/>
      </c>
      <c r="C15" s="18">
        <f>Ingredients!F16</f>
        <v/>
      </c>
      <c r="D15" s="18">
        <f>Ingredients!G16</f>
        <v/>
      </c>
      <c r="E15" s="27">
        <f>Ingredients!O16</f>
        <v/>
      </c>
      <c r="F15" s="27">
        <f>Ingredients!P16</f>
        <v/>
      </c>
      <c r="G15" s="18">
        <f>Ingredients!T16</f>
        <v/>
      </c>
      <c r="H15" s="28">
        <f>Ingredients!U16</f>
        <v/>
      </c>
      <c r="I15" s="28">
        <f>Ingredients!L16</f>
        <v/>
      </c>
      <c r="J15" s="29">
        <f>Ingredients!V16</f>
        <v/>
      </c>
      <c r="K15" s="30">
        <f>IF(G15="REORDER",TODAY()+I15,"")</f>
        <v/>
      </c>
    </row>
    <row r="16">
      <c r="A16" s="18">
        <f>Ingredients!E14</f>
        <v/>
      </c>
      <c r="B16" s="18">
        <f>Ingredients!B14</f>
        <v/>
      </c>
      <c r="C16" s="18">
        <f>Ingredients!F14</f>
        <v/>
      </c>
      <c r="D16" s="18">
        <f>Ingredients!G14</f>
        <v/>
      </c>
      <c r="E16" s="27">
        <f>Ingredients!O14</f>
        <v/>
      </c>
      <c r="F16" s="27">
        <f>Ingredients!P14</f>
        <v/>
      </c>
      <c r="G16" s="18">
        <f>Ingredients!T14</f>
        <v/>
      </c>
      <c r="H16" s="28">
        <f>Ingredients!U14</f>
        <v/>
      </c>
      <c r="I16" s="28">
        <f>Ingredients!L14</f>
        <v/>
      </c>
      <c r="J16" s="29">
        <f>Ingredients!V14</f>
        <v/>
      </c>
      <c r="K16" s="30">
        <f>IF(G16="REORDER",TODAY()+I16,"")</f>
        <v/>
      </c>
    </row>
    <row r="17">
      <c r="A17" s="18">
        <f>Ingredients!E23</f>
        <v/>
      </c>
      <c r="B17" s="18">
        <f>Ingredients!B23</f>
        <v/>
      </c>
      <c r="C17" s="18">
        <f>Ingredients!F23</f>
        <v/>
      </c>
      <c r="D17" s="18">
        <f>Ingredients!G23</f>
        <v/>
      </c>
      <c r="E17" s="27">
        <f>Ingredients!O23</f>
        <v/>
      </c>
      <c r="F17" s="27">
        <f>Ingredients!P23</f>
        <v/>
      </c>
      <c r="G17" s="18">
        <f>Ingredients!T23</f>
        <v/>
      </c>
      <c r="H17" s="28">
        <f>Ingredients!U23</f>
        <v/>
      </c>
      <c r="I17" s="28">
        <f>Ingredients!L23</f>
        <v/>
      </c>
      <c r="J17" s="29">
        <f>Ingredients!V23</f>
        <v/>
      </c>
      <c r="K17" s="30">
        <f>IF(G17="REORDER",TODAY()+I17,"")</f>
        <v/>
      </c>
    </row>
    <row r="18">
      <c r="A18" s="18">
        <f>Ingredients!E13</f>
        <v/>
      </c>
      <c r="B18" s="18">
        <f>Ingredients!B13</f>
        <v/>
      </c>
      <c r="C18" s="18">
        <f>Ingredients!F13</f>
        <v/>
      </c>
      <c r="D18" s="18">
        <f>Ingredients!G13</f>
        <v/>
      </c>
      <c r="E18" s="27">
        <f>Ingredients!O13</f>
        <v/>
      </c>
      <c r="F18" s="27">
        <f>Ingredients!P13</f>
        <v/>
      </c>
      <c r="G18" s="18">
        <f>Ingredients!T13</f>
        <v/>
      </c>
      <c r="H18" s="28">
        <f>Ingredients!U13</f>
        <v/>
      </c>
      <c r="I18" s="28">
        <f>Ingredients!L13</f>
        <v/>
      </c>
      <c r="J18" s="29">
        <f>Ingredients!V13</f>
        <v/>
      </c>
      <c r="K18" s="30">
        <f>IF(G18="REORDER",TODAY()+I18,"")</f>
        <v/>
      </c>
    </row>
    <row r="19">
      <c r="A19" s="18">
        <f>Ingredients!E15</f>
        <v/>
      </c>
      <c r="B19" s="18">
        <f>Ingredients!B15</f>
        <v/>
      </c>
      <c r="C19" s="18">
        <f>Ingredients!F15</f>
        <v/>
      </c>
      <c r="D19" s="18">
        <f>Ingredients!G15</f>
        <v/>
      </c>
      <c r="E19" s="27">
        <f>Ingredients!O15</f>
        <v/>
      </c>
      <c r="F19" s="27">
        <f>Ingredients!P15</f>
        <v/>
      </c>
      <c r="G19" s="18">
        <f>Ingredients!T15</f>
        <v/>
      </c>
      <c r="H19" s="28">
        <f>Ingredients!U15</f>
        <v/>
      </c>
      <c r="I19" s="28">
        <f>Ingredients!L15</f>
        <v/>
      </c>
      <c r="J19" s="29">
        <f>Ingredients!V15</f>
        <v/>
      </c>
      <c r="K19" s="30">
        <f>IF(G19="REORDER",TODAY()+I19,"")</f>
        <v/>
      </c>
    </row>
    <row r="20">
      <c r="A20" s="18">
        <f>Ingredients!E22</f>
        <v/>
      </c>
      <c r="B20" s="18">
        <f>Ingredients!B22</f>
        <v/>
      </c>
      <c r="C20" s="18">
        <f>Ingredients!F22</f>
        <v/>
      </c>
      <c r="D20" s="18">
        <f>Ingredients!G22</f>
        <v/>
      </c>
      <c r="E20" s="27">
        <f>Ingredients!O22</f>
        <v/>
      </c>
      <c r="F20" s="27">
        <f>Ingredients!P22</f>
        <v/>
      </c>
      <c r="G20" s="18">
        <f>Ingredients!T22</f>
        <v/>
      </c>
      <c r="H20" s="28">
        <f>Ingredients!U22</f>
        <v/>
      </c>
      <c r="I20" s="28">
        <f>Ingredients!L22</f>
        <v/>
      </c>
      <c r="J20" s="29">
        <f>Ingredients!V22</f>
        <v/>
      </c>
      <c r="K20" s="30">
        <f>IF(G20="REORDER",TODAY()+I20,"")</f>
        <v/>
      </c>
    </row>
    <row r="21">
      <c r="A21" s="18">
        <f>Ingredients!E30</f>
        <v/>
      </c>
      <c r="B21" s="18">
        <f>Ingredients!B30</f>
        <v/>
      </c>
      <c r="C21" s="18">
        <f>Ingredients!F30</f>
        <v/>
      </c>
      <c r="D21" s="18">
        <f>Ingredients!G30</f>
        <v/>
      </c>
      <c r="E21" s="27">
        <f>Ingredients!O30</f>
        <v/>
      </c>
      <c r="F21" s="27">
        <f>Ingredients!P30</f>
        <v/>
      </c>
      <c r="G21" s="18">
        <f>Ingredients!T30</f>
        <v/>
      </c>
      <c r="H21" s="28">
        <f>Ingredients!U30</f>
        <v/>
      </c>
      <c r="I21" s="28">
        <f>Ingredients!L30</f>
        <v/>
      </c>
      <c r="J21" s="29">
        <f>Ingredients!V30</f>
        <v/>
      </c>
      <c r="K21" s="30">
        <f>IF(G21="REORDER",TODAY()+I21,"")</f>
        <v/>
      </c>
    </row>
    <row r="22">
      <c r="A22" s="18">
        <f>Ingredients!E29</f>
        <v/>
      </c>
      <c r="B22" s="18">
        <f>Ingredients!B29</f>
        <v/>
      </c>
      <c r="C22" s="18">
        <f>Ingredients!F29</f>
        <v/>
      </c>
      <c r="D22" s="18">
        <f>Ingredients!G29</f>
        <v/>
      </c>
      <c r="E22" s="27">
        <f>Ingredients!O29</f>
        <v/>
      </c>
      <c r="F22" s="27">
        <f>Ingredients!P29</f>
        <v/>
      </c>
      <c r="G22" s="18">
        <f>Ingredients!T29</f>
        <v/>
      </c>
      <c r="H22" s="28">
        <f>Ingredients!U29</f>
        <v/>
      </c>
      <c r="I22" s="28">
        <f>Ingredients!L29</f>
        <v/>
      </c>
      <c r="J22" s="29">
        <f>Ingredients!V29</f>
        <v/>
      </c>
      <c r="K22" s="30">
        <f>IF(G22="REORDER",TODAY()+I22,"")</f>
        <v/>
      </c>
    </row>
    <row r="23">
      <c r="A23" s="18">
        <f>Ingredients!E5</f>
        <v/>
      </c>
      <c r="B23" s="18">
        <f>Ingredients!B5</f>
        <v/>
      </c>
      <c r="C23" s="18">
        <f>Ingredients!F5</f>
        <v/>
      </c>
      <c r="D23" s="18">
        <f>Ingredients!G5</f>
        <v/>
      </c>
      <c r="E23" s="27">
        <f>Ingredients!O5</f>
        <v/>
      </c>
      <c r="F23" s="27">
        <f>Ingredients!P5</f>
        <v/>
      </c>
      <c r="G23" s="18">
        <f>Ingredients!T5</f>
        <v/>
      </c>
      <c r="H23" s="28">
        <f>Ingredients!U5</f>
        <v/>
      </c>
      <c r="I23" s="28">
        <f>Ingredients!L5</f>
        <v/>
      </c>
      <c r="J23" s="29">
        <f>Ingredients!V5</f>
        <v/>
      </c>
      <c r="K23" s="30">
        <f>IF(G23="REORDER",TODAY()+I23,"")</f>
        <v/>
      </c>
    </row>
    <row r="24">
      <c r="A24" s="18">
        <f>Ingredients!E27</f>
        <v/>
      </c>
      <c r="B24" s="18">
        <f>Ingredients!B27</f>
        <v/>
      </c>
      <c r="C24" s="18">
        <f>Ingredients!F27</f>
        <v/>
      </c>
      <c r="D24" s="18">
        <f>Ingredients!G27</f>
        <v/>
      </c>
      <c r="E24" s="27">
        <f>Ingredients!O27</f>
        <v/>
      </c>
      <c r="F24" s="27">
        <f>Ingredients!P27</f>
        <v/>
      </c>
      <c r="G24" s="18">
        <f>Ingredients!T27</f>
        <v/>
      </c>
      <c r="H24" s="28">
        <f>Ingredients!U27</f>
        <v/>
      </c>
      <c r="I24" s="28">
        <f>Ingredients!L27</f>
        <v/>
      </c>
      <c r="J24" s="29">
        <f>Ingredients!V27</f>
        <v/>
      </c>
      <c r="K24" s="30">
        <f>IF(G24="REORDER",TODAY()+I24,"")</f>
        <v/>
      </c>
    </row>
    <row r="25">
      <c r="A25" s="18">
        <f>Ingredients!E26</f>
        <v/>
      </c>
      <c r="B25" s="18">
        <f>Ingredients!B26</f>
        <v/>
      </c>
      <c r="C25" s="18">
        <f>Ingredients!F26</f>
        <v/>
      </c>
      <c r="D25" s="18">
        <f>Ingredients!G26</f>
        <v/>
      </c>
      <c r="E25" s="27">
        <f>Ingredients!O26</f>
        <v/>
      </c>
      <c r="F25" s="27">
        <f>Ingredients!P26</f>
        <v/>
      </c>
      <c r="G25" s="18">
        <f>Ingredients!T26</f>
        <v/>
      </c>
      <c r="H25" s="28">
        <f>Ingredients!U26</f>
        <v/>
      </c>
      <c r="I25" s="28">
        <f>Ingredients!L26</f>
        <v/>
      </c>
      <c r="J25" s="29">
        <f>Ingredients!V26</f>
        <v/>
      </c>
      <c r="K25" s="30">
        <f>IF(G25="REORDER",TODAY()+I25,"")</f>
        <v/>
      </c>
    </row>
    <row r="26">
      <c r="A26" s="18">
        <f>Ingredients!E25</f>
        <v/>
      </c>
      <c r="B26" s="18">
        <f>Ingredients!B25</f>
        <v/>
      </c>
      <c r="C26" s="18">
        <f>Ingredients!F25</f>
        <v/>
      </c>
      <c r="D26" s="18">
        <f>Ingredients!G25</f>
        <v/>
      </c>
      <c r="E26" s="27">
        <f>Ingredients!O25</f>
        <v/>
      </c>
      <c r="F26" s="27">
        <f>Ingredients!P25</f>
        <v/>
      </c>
      <c r="G26" s="18">
        <f>Ingredients!T25</f>
        <v/>
      </c>
      <c r="H26" s="28">
        <f>Ingredients!U25</f>
        <v/>
      </c>
      <c r="I26" s="28">
        <f>Ingredients!L25</f>
        <v/>
      </c>
      <c r="J26" s="29">
        <f>Ingredients!V25</f>
        <v/>
      </c>
      <c r="K26" s="30">
        <f>IF(G26="REORDER",TODAY()+I26,"")</f>
        <v/>
      </c>
    </row>
    <row r="27">
      <c r="A27" s="18">
        <f>Ingredients!E6</f>
        <v/>
      </c>
      <c r="B27" s="18">
        <f>Ingredients!B6</f>
        <v/>
      </c>
      <c r="C27" s="18">
        <f>Ingredients!F6</f>
        <v/>
      </c>
      <c r="D27" s="18">
        <f>Ingredients!G6</f>
        <v/>
      </c>
      <c r="E27" s="27">
        <f>Ingredients!O6</f>
        <v/>
      </c>
      <c r="F27" s="27">
        <f>Ingredients!P6</f>
        <v/>
      </c>
      <c r="G27" s="18">
        <f>Ingredients!T6</f>
        <v/>
      </c>
      <c r="H27" s="28">
        <f>Ingredients!U6</f>
        <v/>
      </c>
      <c r="I27" s="28">
        <f>Ingredients!L6</f>
        <v/>
      </c>
      <c r="J27" s="29">
        <f>Ingredients!V6</f>
        <v/>
      </c>
      <c r="K27" s="30">
        <f>IF(G27="REORDER",TODAY()+I27,"")</f>
        <v/>
      </c>
    </row>
    <row r="28">
      <c r="A28" s="18">
        <f>Ingredients!E7</f>
        <v/>
      </c>
      <c r="B28" s="18">
        <f>Ingredients!B7</f>
        <v/>
      </c>
      <c r="C28" s="18">
        <f>Ingredients!F7</f>
        <v/>
      </c>
      <c r="D28" s="18">
        <f>Ingredients!G7</f>
        <v/>
      </c>
      <c r="E28" s="27">
        <f>Ingredients!O7</f>
        <v/>
      </c>
      <c r="F28" s="27">
        <f>Ingredients!P7</f>
        <v/>
      </c>
      <c r="G28" s="18">
        <f>Ingredients!T7</f>
        <v/>
      </c>
      <c r="H28" s="28">
        <f>Ingredients!U7</f>
        <v/>
      </c>
      <c r="I28" s="28">
        <f>Ingredients!L7</f>
        <v/>
      </c>
      <c r="J28" s="29">
        <f>Ingredients!V7</f>
        <v/>
      </c>
      <c r="K28" s="30">
        <f>IF(G28="REORDER",TODAY()+I28,"")</f>
        <v/>
      </c>
    </row>
    <row r="29">
      <c r="A29" s="18">
        <f>Ingredients!E28</f>
        <v/>
      </c>
      <c r="B29" s="18">
        <f>Ingredients!B28</f>
        <v/>
      </c>
      <c r="C29" s="18">
        <f>Ingredients!F28</f>
        <v/>
      </c>
      <c r="D29" s="18">
        <f>Ingredients!G28</f>
        <v/>
      </c>
      <c r="E29" s="27">
        <f>Ingredients!O28</f>
        <v/>
      </c>
      <c r="F29" s="27">
        <f>Ingredients!P28</f>
        <v/>
      </c>
      <c r="G29" s="18">
        <f>Ingredients!T28</f>
        <v/>
      </c>
      <c r="H29" s="28">
        <f>Ingredients!U28</f>
        <v/>
      </c>
      <c r="I29" s="28">
        <f>Ingredients!L28</f>
        <v/>
      </c>
      <c r="J29" s="29">
        <f>Ingredients!V28</f>
        <v/>
      </c>
      <c r="K29" s="30">
        <f>IF(G29="REORDER",TODAY()+I29,"")</f>
        <v/>
      </c>
    </row>
    <row r="30">
      <c r="A30" s="18">
        <f>Ingredients!E2</f>
        <v/>
      </c>
      <c r="B30" s="18">
        <f>Ingredients!B2</f>
        <v/>
      </c>
      <c r="C30" s="18">
        <f>Ingredients!F2</f>
        <v/>
      </c>
      <c r="D30" s="18">
        <f>Ingredients!G2</f>
        <v/>
      </c>
      <c r="E30" s="27">
        <f>Ingredients!O2</f>
        <v/>
      </c>
      <c r="F30" s="27">
        <f>Ingredients!P2</f>
        <v/>
      </c>
      <c r="G30" s="18">
        <f>Ingredients!T2</f>
        <v/>
      </c>
      <c r="H30" s="28">
        <f>Ingredients!U2</f>
        <v/>
      </c>
      <c r="I30" s="28">
        <f>Ingredients!L2</f>
        <v/>
      </c>
      <c r="J30" s="29">
        <f>Ingredients!V2</f>
        <v/>
      </c>
      <c r="K30" s="30">
        <f>IF(G30="REORDER",TODAY()+I30,"")</f>
        <v/>
      </c>
    </row>
    <row r="31">
      <c r="A31" s="18">
        <f>Ingredients!E3</f>
        <v/>
      </c>
      <c r="B31" s="18">
        <f>Ingredients!B3</f>
        <v/>
      </c>
      <c r="C31" s="18">
        <f>Ingredients!F3</f>
        <v/>
      </c>
      <c r="D31" s="18">
        <f>Ingredients!G3</f>
        <v/>
      </c>
      <c r="E31" s="27">
        <f>Ingredients!O3</f>
        <v/>
      </c>
      <c r="F31" s="27">
        <f>Ingredients!P3</f>
        <v/>
      </c>
      <c r="G31" s="18">
        <f>Ingredients!T3</f>
        <v/>
      </c>
      <c r="H31" s="28">
        <f>Ingredients!U3</f>
        <v/>
      </c>
      <c r="I31" s="28">
        <f>Ingredients!L3</f>
        <v/>
      </c>
      <c r="J31" s="29">
        <f>Ingredients!V3</f>
        <v/>
      </c>
      <c r="K31" s="30">
        <f>IF(G31="REORDER",TODAY()+I31,"")</f>
        <v/>
      </c>
    </row>
    <row r="32">
      <c r="A32" s="18">
        <f>Ingredients!E4</f>
        <v/>
      </c>
      <c r="B32" s="18">
        <f>Ingredients!B4</f>
        <v/>
      </c>
      <c r="C32" s="18">
        <f>Ingredients!F4</f>
        <v/>
      </c>
      <c r="D32" s="18">
        <f>Ingredients!G4</f>
        <v/>
      </c>
      <c r="E32" s="27">
        <f>Ingredients!O4</f>
        <v/>
      </c>
      <c r="F32" s="27">
        <f>Ingredients!P4</f>
        <v/>
      </c>
      <c r="G32" s="18">
        <f>Ingredients!T4</f>
        <v/>
      </c>
      <c r="H32" s="28">
        <f>Ingredients!U4</f>
        <v/>
      </c>
      <c r="I32" s="28">
        <f>Ingredients!L4</f>
        <v/>
      </c>
      <c r="J32" s="29">
        <f>Ingredients!V4</f>
        <v/>
      </c>
      <c r="K32" s="30">
        <f>IF(G32="REORDER",TODAY()+I32,"")</f>
        <v/>
      </c>
    </row>
    <row r="34">
      <c r="A34" s="2" t="inlineStr">
        <is>
          <t>Total to order</t>
        </is>
      </c>
      <c r="J34" s="31">
        <f>SUM(J2:J32)</f>
        <v/>
      </c>
    </row>
  </sheetData>
  <autoFilter ref="A1:K32"/>
  <conditionalFormatting sqref="A2:K32">
    <cfRule type="expression" priority="1" dxfId="0">
      <formula>$G2="REORDER"</formula>
    </cfRule>
  </conditionalFormatting>
  <conditionalFormatting sqref="G2:G32">
    <cfRule type="cellIs" priority="2" operator="equal" dxfId="2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1" customWidth="1" min="4" max="4"/>
    <col width="12" customWidth="1" min="5" max="5"/>
    <col width="12" customWidth="1" min="6" max="6"/>
    <col width="22" customWidth="1" min="7" max="7"/>
    <col width="9" customWidth="1" min="8" max="8"/>
    <col width="10" customWidth="1" min="9" max="9"/>
    <col width="9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 ht="32" customHeight="1">
      <c r="A1" s="5" t="inlineStr">
        <is>
          <t>PO #</t>
        </is>
      </c>
      <c r="B1" s="5" t="inlineStr">
        <is>
          <t>Supplier</t>
        </is>
      </c>
      <c r="C1" s="5" t="inlineStr">
        <is>
          <t>Created</t>
        </is>
      </c>
      <c r="D1" s="5" t="inlineStr">
        <is>
          <t>Expected</t>
        </is>
      </c>
      <c r="E1" s="5" t="inlineStr">
        <is>
          <t>Status</t>
        </is>
      </c>
      <c r="F1" s="5" t="inlineStr">
        <is>
          <t>Ingredient ID</t>
        </is>
      </c>
      <c r="G1" s="5" t="inlineStr">
        <is>
          <t>Ingredient</t>
        </is>
      </c>
      <c r="H1" s="5" t="inlineStr">
        <is>
          <t>Ordered (pkgs)</t>
        </is>
      </c>
      <c r="I1" s="5" t="inlineStr">
        <is>
          <t>Received OK (pkgs)</t>
        </is>
      </c>
      <c r="J1" s="5" t="inlineStr">
        <is>
          <t>Damaged (pkgs)</t>
        </is>
      </c>
      <c r="K1" s="5" t="inlineStr">
        <is>
          <t>Outstanding (pkgs)</t>
        </is>
      </c>
      <c r="L1" s="5" t="inlineStr">
        <is>
          <t>Package Cost ($)</t>
        </is>
      </c>
      <c r="M1" s="5" t="inlineStr">
        <is>
          <t>Shipping ($)</t>
        </is>
      </c>
      <c r="N1" s="5" t="inlineStr">
        <is>
          <t>Line Total ($)</t>
        </is>
      </c>
    </row>
    <row r="2">
      <c r="A2" s="6" t="inlineStr">
        <is>
          <t>PO-001</t>
        </is>
      </c>
      <c r="B2" s="6" t="inlineStr">
        <is>
          <t>GreenLeaf Produce</t>
        </is>
      </c>
      <c r="C2" s="6" t="inlineStr">
        <is>
          <t>2026-10-16</t>
        </is>
      </c>
      <c r="D2" s="6" t="inlineStr">
        <is>
          <t>2026-10-18</t>
        </is>
      </c>
      <c r="E2" s="6" t="inlineStr">
        <is>
          <t>received</t>
        </is>
      </c>
      <c r="F2" s="6" t="inlineStr">
        <is>
          <t>ING-014</t>
        </is>
      </c>
      <c r="G2" s="6" t="inlineStr">
        <is>
          <t>Spinach</t>
        </is>
      </c>
      <c r="H2" s="6" t="n">
        <v>6</v>
      </c>
      <c r="I2" s="6" t="n">
        <v>6</v>
      </c>
      <c r="J2" s="6" t="n">
        <v>0</v>
      </c>
      <c r="K2" s="13">
        <f>IF(OR(E2="open",E2="partial"),MAX(H2-I2,0),0)</f>
        <v/>
      </c>
      <c r="L2" s="8" t="n">
        <v>14</v>
      </c>
      <c r="M2" s="8" t="n">
        <v>2.5</v>
      </c>
      <c r="N2" s="14">
        <f>H2*(L2+M2)</f>
        <v/>
      </c>
    </row>
    <row r="3">
      <c r="A3" s="6" t="inlineStr">
        <is>
          <t>PO-001</t>
        </is>
      </c>
      <c r="B3" s="6" t="inlineStr">
        <is>
          <t>GreenLeaf Produce</t>
        </is>
      </c>
      <c r="C3" s="6" t="inlineStr">
        <is>
          <t>2026-10-16</t>
        </is>
      </c>
      <c r="D3" s="6" t="inlineStr">
        <is>
          <t>2026-10-18</t>
        </is>
      </c>
      <c r="E3" s="6" t="inlineStr">
        <is>
          <t>received</t>
        </is>
      </c>
      <c r="F3" s="6" t="inlineStr">
        <is>
          <t>ING-007</t>
        </is>
      </c>
      <c r="G3" s="6" t="inlineStr">
        <is>
          <t>Banana</t>
        </is>
      </c>
      <c r="H3" s="6" t="n">
        <v>2</v>
      </c>
      <c r="I3" s="6" t="n">
        <v>2</v>
      </c>
      <c r="J3" s="6" t="n">
        <v>0</v>
      </c>
      <c r="K3" s="13">
        <f>IF(OR(E3="open",E3="partial"),MAX(H3-I3,0),0)</f>
        <v/>
      </c>
      <c r="L3" s="8" t="n">
        <v>28</v>
      </c>
      <c r="M3" s="8" t="n">
        <v>4</v>
      </c>
      <c r="N3" s="14">
        <f>H3*(L3+M3)</f>
        <v/>
      </c>
    </row>
    <row r="4">
      <c r="A4" s="6" t="inlineStr">
        <is>
          <t>PO-002</t>
        </is>
      </c>
      <c r="B4" s="6" t="inlineStr">
        <is>
          <t>Frosty Farms</t>
        </is>
      </c>
      <c r="C4" s="6" t="inlineStr">
        <is>
          <t>2026-10-17</t>
        </is>
      </c>
      <c r="D4" s="6" t="inlineStr">
        <is>
          <t>2026-10-22</t>
        </is>
      </c>
      <c r="E4" s="6" t="inlineStr">
        <is>
          <t>partial</t>
        </is>
      </c>
      <c r="F4" s="6" t="inlineStr">
        <is>
          <t>ING-008</t>
        </is>
      </c>
      <c r="G4" s="6" t="inlineStr">
        <is>
          <t>Strawberries (frozen)</t>
        </is>
      </c>
      <c r="H4" s="6" t="n">
        <v>4</v>
      </c>
      <c r="I4" s="6" t="n">
        <v>4</v>
      </c>
      <c r="J4" s="6" t="n">
        <v>0</v>
      </c>
      <c r="K4" s="13">
        <f>IF(OR(E4="open",E4="partial"),MAX(H4-I4,0),0)</f>
        <v/>
      </c>
      <c r="L4" s="8" t="n">
        <v>42</v>
      </c>
      <c r="M4" s="8" t="n">
        <v>8</v>
      </c>
      <c r="N4" s="14">
        <f>H4*(L4+M4)</f>
        <v/>
      </c>
    </row>
    <row r="5">
      <c r="A5" s="6" t="inlineStr">
        <is>
          <t>PO-002</t>
        </is>
      </c>
      <c r="B5" s="6" t="inlineStr">
        <is>
          <t>Frosty Farms</t>
        </is>
      </c>
      <c r="C5" s="6" t="inlineStr">
        <is>
          <t>2026-10-17</t>
        </is>
      </c>
      <c r="D5" s="6" t="inlineStr">
        <is>
          <t>2026-10-22</t>
        </is>
      </c>
      <c r="E5" s="6" t="inlineStr">
        <is>
          <t>partial</t>
        </is>
      </c>
      <c r="F5" s="6" t="inlineStr">
        <is>
          <t>ING-010</t>
        </is>
      </c>
      <c r="G5" s="6" t="inlineStr">
        <is>
          <t>Peach (frozen)</t>
        </is>
      </c>
      <c r="H5" s="6" t="n">
        <v>3</v>
      </c>
      <c r="I5" s="6" t="n">
        <v>2</v>
      </c>
      <c r="J5" s="6" t="n">
        <v>1</v>
      </c>
      <c r="K5" s="13">
        <f>IF(OR(E5="open",E5="partial"),MAX(H5-I5,0),0)</f>
        <v/>
      </c>
      <c r="L5" s="8" t="n">
        <v>44</v>
      </c>
      <c r="M5" s="8" t="n">
        <v>8</v>
      </c>
      <c r="N5" s="14">
        <f>H5*(L5+M5)</f>
        <v/>
      </c>
    </row>
    <row r="6">
      <c r="A6" s="6" t="inlineStr">
        <is>
          <t>PO-003</t>
        </is>
      </c>
      <c r="B6" s="6" t="inlineStr">
        <is>
          <t>Sysco</t>
        </is>
      </c>
      <c r="C6" s="6" t="inlineStr">
        <is>
          <t>2026-10-21</t>
        </is>
      </c>
      <c r="D6" s="6" t="inlineStr">
        <is>
          <t>2026-10-25</t>
        </is>
      </c>
      <c r="E6" s="6" t="inlineStr">
        <is>
          <t>open</t>
        </is>
      </c>
      <c r="F6" s="6" t="inlineStr">
        <is>
          <t>ING-006</t>
        </is>
      </c>
      <c r="G6" s="6" t="inlineStr">
        <is>
          <t>Greek Yogurt</t>
        </is>
      </c>
      <c r="H6" s="6" t="n">
        <v>7</v>
      </c>
      <c r="I6" s="6" t="n">
        <v>0</v>
      </c>
      <c r="J6" s="6" t="n">
        <v>0</v>
      </c>
      <c r="K6" s="13">
        <f>IF(OR(E6="open",E6="partial"),MAX(H6-I6,0),0)</f>
        <v/>
      </c>
      <c r="L6" s="8" t="n">
        <v>27</v>
      </c>
      <c r="M6" s="8" t="n">
        <v>3</v>
      </c>
      <c r="N6" s="14">
        <f>H6*(L6+M6)</f>
        <v/>
      </c>
    </row>
    <row r="7">
      <c r="A7" s="6" t="inlineStr">
        <is>
          <t>PO-003</t>
        </is>
      </c>
      <c r="B7" s="6" t="inlineStr">
        <is>
          <t>Sysco</t>
        </is>
      </c>
      <c r="C7" s="6" t="inlineStr">
        <is>
          <t>2026-10-21</t>
        </is>
      </c>
      <c r="D7" s="6" t="inlineStr">
        <is>
          <t>2026-10-25</t>
        </is>
      </c>
      <c r="E7" s="6" t="inlineStr">
        <is>
          <t>open</t>
        </is>
      </c>
      <c r="F7" s="6" t="inlineStr">
        <is>
          <t>ING-005</t>
        </is>
      </c>
      <c r="G7" s="6" t="inlineStr">
        <is>
          <t>Almond Milk</t>
        </is>
      </c>
      <c r="H7" s="6" t="n">
        <v>2</v>
      </c>
      <c r="I7" s="6" t="n">
        <v>0</v>
      </c>
      <c r="J7" s="6" t="n">
        <v>0</v>
      </c>
      <c r="K7" s="13">
        <f>IF(OR(E7="open",E7="partial"),MAX(H7-I7,0),0)</f>
        <v/>
      </c>
      <c r="L7" s="8" t="n">
        <v>21</v>
      </c>
      <c r="M7" s="8" t="n">
        <v>3</v>
      </c>
      <c r="N7" s="14">
        <f>H7*(L7+M7)</f>
        <v/>
      </c>
    </row>
    <row r="8">
      <c r="A8" s="6" t="inlineStr">
        <is>
          <t>PO-004</t>
        </is>
      </c>
      <c r="B8" s="6" t="inlineStr">
        <is>
          <t>Island Imports</t>
        </is>
      </c>
      <c r="C8" s="6" t="inlineStr">
        <is>
          <t>2026-10-13</t>
        </is>
      </c>
      <c r="D8" s="6" t="inlineStr">
        <is>
          <t>2026-10-27</t>
        </is>
      </c>
      <c r="E8" s="6" t="inlineStr">
        <is>
          <t>open</t>
        </is>
      </c>
      <c r="F8" s="6" t="inlineStr">
        <is>
          <t>ING-028</t>
        </is>
      </c>
      <c r="G8" s="6" t="inlineStr">
        <is>
          <t>Acai Packs (frozen)</t>
        </is>
      </c>
      <c r="H8" s="6" t="n">
        <v>9</v>
      </c>
      <c r="I8" s="6" t="n">
        <v>0</v>
      </c>
      <c r="J8" s="6" t="n">
        <v>0</v>
      </c>
      <c r="K8" s="13">
        <f>IF(OR(E8="open",E8="partial"),MAX(H8-I8,0),0)</f>
        <v/>
      </c>
      <c r="L8" s="8" t="n">
        <v>62</v>
      </c>
      <c r="M8" s="8" t="n">
        <v>9</v>
      </c>
      <c r="N8" s="14">
        <f>H8*(L8+M8)</f>
        <v/>
      </c>
    </row>
  </sheetData>
  <conditionalFormatting sqref="A2:N8">
    <cfRule type="expression" priority="1" dxfId="3">
      <formula>$K2&gt;0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20" customWidth="1" min="4" max="4"/>
    <col width="16" customWidth="1" min="5" max="5"/>
    <col width="16" customWidth="1" min="6" max="6"/>
    <col width="7" customWidth="1" min="7" max="7"/>
    <col width="9" customWidth="1" min="8" max="8"/>
    <col width="9" customWidth="1" min="9" max="9"/>
    <col width="22" customWidth="1" min="10" max="10"/>
    <col width="9" customWidth="1" min="11" max="11"/>
    <col width="10" customWidth="1" min="12" max="12"/>
    <col width="9" customWidth="1" min="13" max="13"/>
    <col width="8" customWidth="1" min="14" max="14"/>
    <col width="24" customWidth="1" min="15" max="15"/>
    <col width="34" customWidth="1" min="16" max="16"/>
  </cols>
  <sheetData>
    <row r="1" ht="32" customHeight="1">
      <c r="A1" s="5" t="inlineStr">
        <is>
          <t>Received At</t>
        </is>
      </c>
      <c r="B1" s="5" t="inlineStr">
        <is>
          <t>Receipt #</t>
        </is>
      </c>
      <c r="C1" s="5" t="inlineStr">
        <is>
          <t>PO #</t>
        </is>
      </c>
      <c r="D1" s="5" t="inlineStr">
        <is>
          <t>Supplier</t>
        </is>
      </c>
      <c r="E1" s="5" t="inlineStr">
        <is>
          <t>Received By</t>
        </is>
      </c>
      <c r="F1" s="5" t="inlineStr">
        <is>
          <t>Tracking / Invoice #</t>
        </is>
      </c>
      <c r="G1" s="5" t="inlineStr">
        <is>
          <t>Late?</t>
        </is>
      </c>
      <c r="H1" s="5" t="inlineStr">
        <is>
          <t>Box Damaged?</t>
        </is>
      </c>
      <c r="I1" s="5" t="inlineStr">
        <is>
          <t>Wrong Items?</t>
        </is>
      </c>
      <c r="J1" s="5" t="inlineStr">
        <is>
          <t>Ingredient</t>
        </is>
      </c>
      <c r="K1" s="5" t="inlineStr">
        <is>
          <t>Expected (pkgs)</t>
        </is>
      </c>
      <c r="L1" s="5" t="inlineStr">
        <is>
          <t>Received OK (pkgs)</t>
        </is>
      </c>
      <c r="M1" s="5" t="inlineStr">
        <is>
          <t>Damaged (pkgs)</t>
        </is>
      </c>
      <c r="N1" s="5" t="inlineStr">
        <is>
          <t>Short (pkgs)</t>
        </is>
      </c>
      <c r="O1" s="5" t="inlineStr">
        <is>
          <t>Item Note</t>
        </is>
      </c>
      <c r="P1" s="5" t="inlineStr">
        <is>
          <t>Delivery Notes</t>
        </is>
      </c>
    </row>
    <row r="2">
      <c r="A2" s="6" t="inlineStr">
        <is>
          <t>2026-10-23 09:40</t>
        </is>
      </c>
      <c r="B2" s="6" t="inlineStr">
        <is>
          <t>RC-002</t>
        </is>
      </c>
      <c r="C2" s="6" t="inlineStr">
        <is>
          <t>PO-002</t>
        </is>
      </c>
      <c r="D2" s="6" t="inlineStr">
        <is>
          <t>Frosty Farms</t>
        </is>
      </c>
      <c r="E2" s="6" t="inlineStr">
        <is>
          <t>Maya Torres</t>
        </is>
      </c>
      <c r="F2" s="6" t="inlineStr">
        <is>
          <t>FF-209331</t>
        </is>
      </c>
      <c r="G2" s="6" t="inlineStr">
        <is>
          <t>Yes</t>
        </is>
      </c>
      <c r="H2" s="6" t="inlineStr">
        <is>
          <t>Yes</t>
        </is>
      </c>
      <c r="I2" s="6" t="inlineStr"/>
      <c r="J2" s="6" t="inlineStr">
        <is>
          <t>Strawberries (frozen)</t>
        </is>
      </c>
      <c r="K2" s="6" t="n">
        <v>4</v>
      </c>
      <c r="L2" s="6" t="n">
        <v>4</v>
      </c>
      <c r="M2" s="6" t="n">
        <v>0</v>
      </c>
      <c r="N2" s="13">
        <f>MAX(K2-L2,0)</f>
        <v/>
      </c>
      <c r="O2" s="6" t="inlineStr"/>
      <c r="P2" s="6" t="inlineStr">
        <is>
          <t>Outer box crushed on one side. Driver signed the damage note.</t>
        </is>
      </c>
    </row>
    <row r="3">
      <c r="A3" s="6" t="inlineStr">
        <is>
          <t>2026-10-23 09:40</t>
        </is>
      </c>
      <c r="B3" s="6" t="inlineStr">
        <is>
          <t>RC-002</t>
        </is>
      </c>
      <c r="C3" s="6" t="inlineStr">
        <is>
          <t>PO-002</t>
        </is>
      </c>
      <c r="D3" s="6" t="inlineStr">
        <is>
          <t>Frosty Farms</t>
        </is>
      </c>
      <c r="E3" s="6" t="inlineStr">
        <is>
          <t>Maya Torres</t>
        </is>
      </c>
      <c r="F3" s="6" t="inlineStr">
        <is>
          <t>FF-209331</t>
        </is>
      </c>
      <c r="G3" s="6" t="inlineStr">
        <is>
          <t>Yes</t>
        </is>
      </c>
      <c r="H3" s="6" t="inlineStr">
        <is>
          <t>Yes</t>
        </is>
      </c>
      <c r="I3" s="6" t="inlineStr"/>
      <c r="J3" s="6" t="inlineStr">
        <is>
          <t>Peach (frozen)</t>
        </is>
      </c>
      <c r="K3" s="6" t="n">
        <v>3</v>
      </c>
      <c r="L3" s="6" t="n">
        <v>2</v>
      </c>
      <c r="M3" s="6" t="n">
        <v>1</v>
      </c>
      <c r="N3" s="13">
        <f>MAX(K3-L3,0)</f>
        <v/>
      </c>
      <c r="O3" s="6" t="inlineStr">
        <is>
          <t>Bags split, thawed. Photo taken; supplier to credit or resend.</t>
        </is>
      </c>
      <c r="P3" s="6" t="inlineStr">
        <is>
          <t>Outer box crushed on one side. Driver signed the damage note.</t>
        </is>
      </c>
    </row>
    <row r="4">
      <c r="A4" s="6" t="inlineStr">
        <is>
          <t>2026-10-18 08:15</t>
        </is>
      </c>
      <c r="B4" s="6" t="inlineStr">
        <is>
          <t>RC-001</t>
        </is>
      </c>
      <c r="C4" s="6" t="inlineStr">
        <is>
          <t>PO-001</t>
        </is>
      </c>
      <c r="D4" s="6" t="inlineStr">
        <is>
          <t>GreenLeaf Produce</t>
        </is>
      </c>
      <c r="E4" s="6" t="inlineStr">
        <is>
          <t>Jordan Lee</t>
        </is>
      </c>
      <c r="F4" s="6" t="inlineStr">
        <is>
          <t>INV-44817</t>
        </is>
      </c>
      <c r="G4" s="6" t="inlineStr"/>
      <c r="H4" s="6" t="inlineStr"/>
      <c r="I4" s="6" t="inlineStr"/>
      <c r="J4" s="6" t="inlineStr">
        <is>
          <t>Spinach</t>
        </is>
      </c>
      <c r="K4" s="6" t="n">
        <v>6</v>
      </c>
      <c r="L4" s="6" t="n">
        <v>6</v>
      </c>
      <c r="M4" s="6" t="n">
        <v>0</v>
      </c>
      <c r="N4" s="13">
        <f>MAX(K4-L4,0)</f>
        <v/>
      </c>
      <c r="O4" s="6" t="inlineStr"/>
      <c r="P4" s="6" t="inlineStr"/>
    </row>
    <row r="5">
      <c r="A5" s="6" t="inlineStr">
        <is>
          <t>2026-10-18 08:15</t>
        </is>
      </c>
      <c r="B5" s="6" t="inlineStr">
        <is>
          <t>RC-001</t>
        </is>
      </c>
      <c r="C5" s="6" t="inlineStr">
        <is>
          <t>PO-001</t>
        </is>
      </c>
      <c r="D5" s="6" t="inlineStr">
        <is>
          <t>GreenLeaf Produce</t>
        </is>
      </c>
      <c r="E5" s="6" t="inlineStr">
        <is>
          <t>Jordan Lee</t>
        </is>
      </c>
      <c r="F5" s="6" t="inlineStr">
        <is>
          <t>INV-44817</t>
        </is>
      </c>
      <c r="G5" s="6" t="inlineStr"/>
      <c r="H5" s="6" t="inlineStr"/>
      <c r="I5" s="6" t="inlineStr"/>
      <c r="J5" s="6" t="inlineStr">
        <is>
          <t>Banana</t>
        </is>
      </c>
      <c r="K5" s="6" t="n">
        <v>2</v>
      </c>
      <c r="L5" s="6" t="n">
        <v>2</v>
      </c>
      <c r="M5" s="6" t="n">
        <v>0</v>
      </c>
      <c r="N5" s="13">
        <f>MAX(K5-L5,0)</f>
        <v/>
      </c>
      <c r="O5" s="6" t="inlineStr"/>
      <c r="P5" s="6" t="inlineStr"/>
    </row>
  </sheetData>
  <autoFilter ref="A1:P5"/>
  <conditionalFormatting sqref="A2:P5">
    <cfRule type="expression" priority="1" dxfId="0">
      <formula>OR($M2&gt;0,$N2&gt;0,$H2="Yes",$I2="Yes")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24" customWidth="1" min="4" max="4"/>
    <col width="12" customWidth="1" min="5" max="5"/>
  </cols>
  <sheetData>
    <row r="1">
      <c r="A1" s="21" t="inlineStr">
        <is>
          <t>Date / Time</t>
        </is>
      </c>
      <c r="B1" s="21" t="inlineStr">
        <is>
          <t>Item ID</t>
        </is>
      </c>
      <c r="C1" s="21" t="inlineStr">
        <is>
          <t>Qty</t>
        </is>
      </c>
      <c r="D1" s="21" t="inlineStr">
        <is>
          <t>Item Name</t>
        </is>
      </c>
      <c r="E1" s="21" t="inlineStr">
        <is>
          <t>Revenue ($)</t>
        </is>
      </c>
    </row>
    <row r="2">
      <c r="A2" s="6" t="inlineStr">
        <is>
          <t>2026-10-11 08:00:00</t>
        </is>
      </c>
      <c r="B2" s="6" t="inlineStr">
        <is>
          <t>MI-001</t>
        </is>
      </c>
      <c r="C2" s="10" t="n">
        <v>15</v>
      </c>
      <c r="D2" s="18">
        <f>IFERROR(INDEX('Menu Items'!$B$2:$B$200,MATCH(B2,'Menu Items'!$A$2:$A$200,0)),"")</f>
        <v/>
      </c>
      <c r="E2" s="14">
        <f>IFERROR(C2*INDEX('Menu Items'!$E$2:$E$200,MATCH(B2,'Menu Items'!$A$2:$A$200,0)),0)</f>
        <v/>
      </c>
    </row>
    <row r="3">
      <c r="A3" s="6" t="inlineStr">
        <is>
          <t>2026-10-11 08:00:00</t>
        </is>
      </c>
      <c r="B3" s="6" t="inlineStr">
        <is>
          <t>MI-007</t>
        </is>
      </c>
      <c r="C3" s="10" t="n">
        <v>13</v>
      </c>
      <c r="D3" s="18">
        <f>IFERROR(INDEX('Menu Items'!$B$2:$B$200,MATCH(B3,'Menu Items'!$A$2:$A$200,0)),"")</f>
        <v/>
      </c>
      <c r="E3" s="14">
        <f>IFERROR(C3*INDEX('Menu Items'!$E$2:$E$200,MATCH(B3,'Menu Items'!$A$2:$A$200,0)),0)</f>
        <v/>
      </c>
    </row>
    <row r="4">
      <c r="A4" s="6" t="inlineStr">
        <is>
          <t>2026-10-11 09:00:00</t>
        </is>
      </c>
      <c r="B4" s="6" t="inlineStr">
        <is>
          <t>MI-005</t>
        </is>
      </c>
      <c r="C4" s="10" t="n">
        <v>29</v>
      </c>
      <c r="D4" s="18">
        <f>IFERROR(INDEX('Menu Items'!$B$2:$B$200,MATCH(B4,'Menu Items'!$A$2:$A$200,0)),"")</f>
        <v/>
      </c>
      <c r="E4" s="14">
        <f>IFERROR(C4*INDEX('Menu Items'!$E$2:$E$200,MATCH(B4,'Menu Items'!$A$2:$A$200,0)),0)</f>
        <v/>
      </c>
    </row>
    <row r="5">
      <c r="A5" s="6" t="inlineStr">
        <is>
          <t>2026-10-11 10:00:00</t>
        </is>
      </c>
      <c r="B5" s="6" t="inlineStr">
        <is>
          <t>MI-003</t>
        </is>
      </c>
      <c r="C5" s="10" t="n">
        <v>19</v>
      </c>
      <c r="D5" s="18">
        <f>IFERROR(INDEX('Menu Items'!$B$2:$B$200,MATCH(B5,'Menu Items'!$A$2:$A$200,0)),"")</f>
        <v/>
      </c>
      <c r="E5" s="14">
        <f>IFERROR(C5*INDEX('Menu Items'!$E$2:$E$200,MATCH(B5,'Menu Items'!$A$2:$A$200,0)),0)</f>
        <v/>
      </c>
    </row>
    <row r="6">
      <c r="A6" s="6" t="inlineStr">
        <is>
          <t>2026-10-11 11:00:00</t>
        </is>
      </c>
      <c r="B6" s="6" t="inlineStr">
        <is>
          <t>MI-002</t>
        </is>
      </c>
      <c r="C6" s="10" t="n">
        <v>20</v>
      </c>
      <c r="D6" s="18">
        <f>IFERROR(INDEX('Menu Items'!$B$2:$B$200,MATCH(B6,'Menu Items'!$A$2:$A$200,0)),"")</f>
        <v/>
      </c>
      <c r="E6" s="14">
        <f>IFERROR(C6*INDEX('Menu Items'!$E$2:$E$200,MATCH(B6,'Menu Items'!$A$2:$A$200,0)),0)</f>
        <v/>
      </c>
    </row>
    <row r="7">
      <c r="A7" s="6" t="inlineStr">
        <is>
          <t>2026-10-11 11:00:00</t>
        </is>
      </c>
      <c r="B7" s="6" t="inlineStr">
        <is>
          <t>MI-008</t>
        </is>
      </c>
      <c r="C7" s="10" t="n">
        <v>14</v>
      </c>
      <c r="D7" s="18">
        <f>IFERROR(INDEX('Menu Items'!$B$2:$B$200,MATCH(B7,'Menu Items'!$A$2:$A$200,0)),"")</f>
        <v/>
      </c>
      <c r="E7" s="14">
        <f>IFERROR(C7*INDEX('Menu Items'!$E$2:$E$200,MATCH(B7,'Menu Items'!$A$2:$A$200,0)),0)</f>
        <v/>
      </c>
    </row>
    <row r="8">
      <c r="A8" s="6" t="inlineStr">
        <is>
          <t>2026-10-11 14:00:00</t>
        </is>
      </c>
      <c r="B8" s="6" t="inlineStr">
        <is>
          <t>MI-006</t>
        </is>
      </c>
      <c r="C8" s="10" t="n">
        <v>30</v>
      </c>
      <c r="D8" s="18">
        <f>IFERROR(INDEX('Menu Items'!$B$2:$B$200,MATCH(B8,'Menu Items'!$A$2:$A$200,0)),"")</f>
        <v/>
      </c>
      <c r="E8" s="14">
        <f>IFERROR(C8*INDEX('Menu Items'!$E$2:$E$200,MATCH(B8,'Menu Items'!$A$2:$A$200,0)),0)</f>
        <v/>
      </c>
    </row>
    <row r="9">
      <c r="A9" s="6" t="inlineStr">
        <is>
          <t>2026-10-11 14:00:00</t>
        </is>
      </c>
      <c r="B9" s="6" t="inlineStr">
        <is>
          <t>MI-012</t>
        </is>
      </c>
      <c r="C9" s="10" t="n">
        <v>29</v>
      </c>
      <c r="D9" s="18">
        <f>IFERROR(INDEX('Menu Items'!$B$2:$B$200,MATCH(B9,'Menu Items'!$A$2:$A$200,0)),"")</f>
        <v/>
      </c>
      <c r="E9" s="14">
        <f>IFERROR(C9*INDEX('Menu Items'!$E$2:$E$200,MATCH(B9,'Menu Items'!$A$2:$A$200,0)),0)</f>
        <v/>
      </c>
    </row>
    <row r="10">
      <c r="A10" s="6" t="inlineStr">
        <is>
          <t>2026-10-11 16:00:00</t>
        </is>
      </c>
      <c r="B10" s="6" t="inlineStr">
        <is>
          <t>MI-009</t>
        </is>
      </c>
      <c r="C10" s="10" t="n">
        <v>19</v>
      </c>
      <c r="D10" s="18">
        <f>IFERROR(INDEX('Menu Items'!$B$2:$B$200,MATCH(B10,'Menu Items'!$A$2:$A$200,0)),"")</f>
        <v/>
      </c>
      <c r="E10" s="14">
        <f>IFERROR(C10*INDEX('Menu Items'!$E$2:$E$200,MATCH(B10,'Menu Items'!$A$2:$A$200,0)),0)</f>
        <v/>
      </c>
    </row>
    <row r="11">
      <c r="A11" s="6" t="inlineStr">
        <is>
          <t>2026-10-11 16:00:00</t>
        </is>
      </c>
      <c r="B11" s="6" t="inlineStr">
        <is>
          <t>MI-010</t>
        </is>
      </c>
      <c r="C11" s="10" t="n">
        <v>12</v>
      </c>
      <c r="D11" s="18">
        <f>IFERROR(INDEX('Menu Items'!$B$2:$B$200,MATCH(B11,'Menu Items'!$A$2:$A$200,0)),"")</f>
        <v/>
      </c>
      <c r="E11" s="14">
        <f>IFERROR(C11*INDEX('Menu Items'!$E$2:$E$200,MATCH(B11,'Menu Items'!$A$2:$A$200,0)),0)</f>
        <v/>
      </c>
    </row>
    <row r="12">
      <c r="A12" s="6" t="inlineStr">
        <is>
          <t>2026-10-11 18:00:00</t>
        </is>
      </c>
      <c r="B12" s="6" t="inlineStr">
        <is>
          <t>MI-004</t>
        </is>
      </c>
      <c r="C12" s="10" t="n">
        <v>15</v>
      </c>
      <c r="D12" s="18">
        <f>IFERROR(INDEX('Menu Items'!$B$2:$B$200,MATCH(B12,'Menu Items'!$A$2:$A$200,0)),"")</f>
        <v/>
      </c>
      <c r="E12" s="14">
        <f>IFERROR(C12*INDEX('Menu Items'!$E$2:$E$200,MATCH(B12,'Menu Items'!$A$2:$A$200,0)),0)</f>
        <v/>
      </c>
    </row>
    <row r="13">
      <c r="A13" s="6" t="inlineStr">
        <is>
          <t>2026-10-11 18:00:00</t>
        </is>
      </c>
      <c r="B13" s="6" t="inlineStr">
        <is>
          <t>MI-011</t>
        </is>
      </c>
      <c r="C13" s="10" t="n">
        <v>18</v>
      </c>
      <c r="D13" s="18">
        <f>IFERROR(INDEX('Menu Items'!$B$2:$B$200,MATCH(B13,'Menu Items'!$A$2:$A$200,0)),"")</f>
        <v/>
      </c>
      <c r="E13" s="14">
        <f>IFERROR(C13*INDEX('Menu Items'!$E$2:$E$200,MATCH(B13,'Menu Items'!$A$2:$A$200,0)),0)</f>
        <v/>
      </c>
    </row>
    <row r="14">
      <c r="A14" s="6" t="inlineStr">
        <is>
          <t>2026-10-12 08:00:00</t>
        </is>
      </c>
      <c r="B14" s="6" t="inlineStr">
        <is>
          <t>MI-010</t>
        </is>
      </c>
      <c r="C14" s="10" t="n">
        <v>20</v>
      </c>
      <c r="D14" s="18">
        <f>IFERROR(INDEX('Menu Items'!$B$2:$B$200,MATCH(B14,'Menu Items'!$A$2:$A$200,0)),"")</f>
        <v/>
      </c>
      <c r="E14" s="14">
        <f>IFERROR(C14*INDEX('Menu Items'!$E$2:$E$200,MATCH(B14,'Menu Items'!$A$2:$A$200,0)),0)</f>
        <v/>
      </c>
    </row>
    <row r="15">
      <c r="A15" s="6" t="inlineStr">
        <is>
          <t>2026-10-12 09:00:00</t>
        </is>
      </c>
      <c r="B15" s="6" t="inlineStr">
        <is>
          <t>MI-007</t>
        </is>
      </c>
      <c r="C15" s="10" t="n">
        <v>15</v>
      </c>
      <c r="D15" s="18">
        <f>IFERROR(INDEX('Menu Items'!$B$2:$B$200,MATCH(B15,'Menu Items'!$A$2:$A$200,0)),"")</f>
        <v/>
      </c>
      <c r="E15" s="14">
        <f>IFERROR(C15*INDEX('Menu Items'!$E$2:$E$200,MATCH(B15,'Menu Items'!$A$2:$A$200,0)),0)</f>
        <v/>
      </c>
    </row>
    <row r="16">
      <c r="A16" s="6" t="inlineStr">
        <is>
          <t>2026-10-12 09:00:00</t>
        </is>
      </c>
      <c r="B16" s="6" t="inlineStr">
        <is>
          <t>MI-008</t>
        </is>
      </c>
      <c r="C16" s="10" t="n">
        <v>24</v>
      </c>
      <c r="D16" s="18">
        <f>IFERROR(INDEX('Menu Items'!$B$2:$B$200,MATCH(B16,'Menu Items'!$A$2:$A$200,0)),"")</f>
        <v/>
      </c>
      <c r="E16" s="14">
        <f>IFERROR(C16*INDEX('Menu Items'!$E$2:$E$200,MATCH(B16,'Menu Items'!$A$2:$A$200,0)),0)</f>
        <v/>
      </c>
    </row>
    <row r="17">
      <c r="A17" s="6" t="inlineStr">
        <is>
          <t>2026-10-12 10:00:00</t>
        </is>
      </c>
      <c r="B17" s="6" t="inlineStr">
        <is>
          <t>MI-003</t>
        </is>
      </c>
      <c r="C17" s="10" t="n">
        <v>12</v>
      </c>
      <c r="D17" s="18">
        <f>IFERROR(INDEX('Menu Items'!$B$2:$B$200,MATCH(B17,'Menu Items'!$A$2:$A$200,0)),"")</f>
        <v/>
      </c>
      <c r="E17" s="14">
        <f>IFERROR(C17*INDEX('Menu Items'!$E$2:$E$200,MATCH(B17,'Menu Items'!$A$2:$A$200,0)),0)</f>
        <v/>
      </c>
    </row>
    <row r="18">
      <c r="A18" s="6" t="inlineStr">
        <is>
          <t>2026-10-12 10:00:00</t>
        </is>
      </c>
      <c r="B18" s="6" t="inlineStr">
        <is>
          <t>MI-005</t>
        </is>
      </c>
      <c r="C18" s="10" t="n">
        <v>20</v>
      </c>
      <c r="D18" s="18">
        <f>IFERROR(INDEX('Menu Items'!$B$2:$B$200,MATCH(B18,'Menu Items'!$A$2:$A$200,0)),"")</f>
        <v/>
      </c>
      <c r="E18" s="14">
        <f>IFERROR(C18*INDEX('Menu Items'!$E$2:$E$200,MATCH(B18,'Menu Items'!$A$2:$A$200,0)),0)</f>
        <v/>
      </c>
    </row>
    <row r="19">
      <c r="A19" s="6" t="inlineStr">
        <is>
          <t>2026-10-12 12:00:00</t>
        </is>
      </c>
      <c r="B19" s="6" t="inlineStr">
        <is>
          <t>MI-002</t>
        </is>
      </c>
      <c r="C19" s="10" t="n">
        <v>30</v>
      </c>
      <c r="D19" s="18">
        <f>IFERROR(INDEX('Menu Items'!$B$2:$B$200,MATCH(B19,'Menu Items'!$A$2:$A$200,0)),"")</f>
        <v/>
      </c>
      <c r="E19" s="14">
        <f>IFERROR(C19*INDEX('Menu Items'!$E$2:$E$200,MATCH(B19,'Menu Items'!$A$2:$A$200,0)),0)</f>
        <v/>
      </c>
    </row>
    <row r="20">
      <c r="A20" s="6" t="inlineStr">
        <is>
          <t>2026-10-12 13:00:00</t>
        </is>
      </c>
      <c r="B20" s="6" t="inlineStr">
        <is>
          <t>MI-004</t>
        </is>
      </c>
      <c r="C20" s="10" t="n">
        <v>25</v>
      </c>
      <c r="D20" s="18">
        <f>IFERROR(INDEX('Menu Items'!$B$2:$B$200,MATCH(B20,'Menu Items'!$A$2:$A$200,0)),"")</f>
        <v/>
      </c>
      <c r="E20" s="14">
        <f>IFERROR(C20*INDEX('Menu Items'!$E$2:$E$200,MATCH(B20,'Menu Items'!$A$2:$A$200,0)),0)</f>
        <v/>
      </c>
    </row>
    <row r="21">
      <c r="A21" s="6" t="inlineStr">
        <is>
          <t>2026-10-12 13:00:00</t>
        </is>
      </c>
      <c r="B21" s="6" t="inlineStr">
        <is>
          <t>MI-006</t>
        </is>
      </c>
      <c r="C21" s="10" t="n">
        <v>18</v>
      </c>
      <c r="D21" s="18">
        <f>IFERROR(INDEX('Menu Items'!$B$2:$B$200,MATCH(B21,'Menu Items'!$A$2:$A$200,0)),"")</f>
        <v/>
      </c>
      <c r="E21" s="14">
        <f>IFERROR(C21*INDEX('Menu Items'!$E$2:$E$200,MATCH(B21,'Menu Items'!$A$2:$A$200,0)),0)</f>
        <v/>
      </c>
    </row>
    <row r="22">
      <c r="A22" s="6" t="inlineStr">
        <is>
          <t>2026-10-12 13:00:00</t>
        </is>
      </c>
      <c r="B22" s="6" t="inlineStr">
        <is>
          <t>MI-009</t>
        </is>
      </c>
      <c r="C22" s="10" t="n">
        <v>23</v>
      </c>
      <c r="D22" s="18">
        <f>IFERROR(INDEX('Menu Items'!$B$2:$B$200,MATCH(B22,'Menu Items'!$A$2:$A$200,0)),"")</f>
        <v/>
      </c>
      <c r="E22" s="14">
        <f>IFERROR(C22*INDEX('Menu Items'!$E$2:$E$200,MATCH(B22,'Menu Items'!$A$2:$A$200,0)),0)</f>
        <v/>
      </c>
    </row>
    <row r="23">
      <c r="A23" s="6" t="inlineStr">
        <is>
          <t>2026-10-12 14:00:00</t>
        </is>
      </c>
      <c r="B23" s="6" t="inlineStr">
        <is>
          <t>MI-012</t>
        </is>
      </c>
      <c r="C23" s="10" t="n">
        <v>15</v>
      </c>
      <c r="D23" s="18">
        <f>IFERROR(INDEX('Menu Items'!$B$2:$B$200,MATCH(B23,'Menu Items'!$A$2:$A$200,0)),"")</f>
        <v/>
      </c>
      <c r="E23" s="14">
        <f>IFERROR(C23*INDEX('Menu Items'!$E$2:$E$200,MATCH(B23,'Menu Items'!$A$2:$A$200,0)),0)</f>
        <v/>
      </c>
    </row>
    <row r="24">
      <c r="A24" s="6" t="inlineStr">
        <is>
          <t>2026-10-12 15:00:00</t>
        </is>
      </c>
      <c r="B24" s="6" t="inlineStr">
        <is>
          <t>MI-001</t>
        </is>
      </c>
      <c r="C24" s="10" t="n">
        <v>19</v>
      </c>
      <c r="D24" s="18">
        <f>IFERROR(INDEX('Menu Items'!$B$2:$B$200,MATCH(B24,'Menu Items'!$A$2:$A$200,0)),"")</f>
        <v/>
      </c>
      <c r="E24" s="14">
        <f>IFERROR(C24*INDEX('Menu Items'!$E$2:$E$200,MATCH(B24,'Menu Items'!$A$2:$A$200,0)),0)</f>
        <v/>
      </c>
    </row>
    <row r="25">
      <c r="A25" s="6" t="inlineStr">
        <is>
          <t>2026-10-12 16:00:00</t>
        </is>
      </c>
      <c r="B25" s="6" t="inlineStr">
        <is>
          <t>MI-011</t>
        </is>
      </c>
      <c r="C25" s="10" t="n">
        <v>26</v>
      </c>
      <c r="D25" s="18">
        <f>IFERROR(INDEX('Menu Items'!$B$2:$B$200,MATCH(B25,'Menu Items'!$A$2:$A$200,0)),"")</f>
        <v/>
      </c>
      <c r="E25" s="14">
        <f>IFERROR(C25*INDEX('Menu Items'!$E$2:$E$200,MATCH(B25,'Menu Items'!$A$2:$A$200,0)),0)</f>
        <v/>
      </c>
    </row>
    <row r="26">
      <c r="A26" s="6" t="inlineStr">
        <is>
          <t>2026-10-13 09:00:00</t>
        </is>
      </c>
      <c r="B26" s="6" t="inlineStr">
        <is>
          <t>MI-004</t>
        </is>
      </c>
      <c r="C26" s="10" t="n">
        <v>18</v>
      </c>
      <c r="D26" s="18">
        <f>IFERROR(INDEX('Menu Items'!$B$2:$B$200,MATCH(B26,'Menu Items'!$A$2:$A$200,0)),"")</f>
        <v/>
      </c>
      <c r="E26" s="14">
        <f>IFERROR(C26*INDEX('Menu Items'!$E$2:$E$200,MATCH(B26,'Menu Items'!$A$2:$A$200,0)),0)</f>
        <v/>
      </c>
    </row>
    <row r="27">
      <c r="A27" s="6" t="inlineStr">
        <is>
          <t>2026-10-13 10:00:00</t>
        </is>
      </c>
      <c r="B27" s="6" t="inlineStr">
        <is>
          <t>MI-010</t>
        </is>
      </c>
      <c r="C27" s="10" t="n">
        <v>23</v>
      </c>
      <c r="D27" s="18">
        <f>IFERROR(INDEX('Menu Items'!$B$2:$B$200,MATCH(B27,'Menu Items'!$A$2:$A$200,0)),"")</f>
        <v/>
      </c>
      <c r="E27" s="14">
        <f>IFERROR(C27*INDEX('Menu Items'!$E$2:$E$200,MATCH(B27,'Menu Items'!$A$2:$A$200,0)),0)</f>
        <v/>
      </c>
    </row>
    <row r="28">
      <c r="A28" s="6" t="inlineStr">
        <is>
          <t>2026-10-13 11:00:00</t>
        </is>
      </c>
      <c r="B28" s="6" t="inlineStr">
        <is>
          <t>MI-007</t>
        </is>
      </c>
      <c r="C28" s="10" t="n">
        <v>14</v>
      </c>
      <c r="D28" s="18">
        <f>IFERROR(INDEX('Menu Items'!$B$2:$B$200,MATCH(B28,'Menu Items'!$A$2:$A$200,0)),"")</f>
        <v/>
      </c>
      <c r="E28" s="14">
        <f>IFERROR(C28*INDEX('Menu Items'!$E$2:$E$200,MATCH(B28,'Menu Items'!$A$2:$A$200,0)),0)</f>
        <v/>
      </c>
    </row>
    <row r="29">
      <c r="A29" s="6" t="inlineStr">
        <is>
          <t>2026-10-13 12:00:00</t>
        </is>
      </c>
      <c r="B29" s="6" t="inlineStr">
        <is>
          <t>MI-006</t>
        </is>
      </c>
      <c r="C29" s="10" t="n">
        <v>19</v>
      </c>
      <c r="D29" s="18">
        <f>IFERROR(INDEX('Menu Items'!$B$2:$B$200,MATCH(B29,'Menu Items'!$A$2:$A$200,0)),"")</f>
        <v/>
      </c>
      <c r="E29" s="14">
        <f>IFERROR(C29*INDEX('Menu Items'!$E$2:$E$200,MATCH(B29,'Menu Items'!$A$2:$A$200,0)),0)</f>
        <v/>
      </c>
    </row>
    <row r="30">
      <c r="A30" s="6" t="inlineStr">
        <is>
          <t>2026-10-13 13:00:00</t>
        </is>
      </c>
      <c r="B30" s="6" t="inlineStr">
        <is>
          <t>MI-011</t>
        </is>
      </c>
      <c r="C30" s="10" t="n">
        <v>23</v>
      </c>
      <c r="D30" s="18">
        <f>IFERROR(INDEX('Menu Items'!$B$2:$B$200,MATCH(B30,'Menu Items'!$A$2:$A$200,0)),"")</f>
        <v/>
      </c>
      <c r="E30" s="14">
        <f>IFERROR(C30*INDEX('Menu Items'!$E$2:$E$200,MATCH(B30,'Menu Items'!$A$2:$A$200,0)),0)</f>
        <v/>
      </c>
    </row>
    <row r="31">
      <c r="A31" s="6" t="inlineStr">
        <is>
          <t>2026-10-13 14:00:00</t>
        </is>
      </c>
      <c r="B31" s="6" t="inlineStr">
        <is>
          <t>MI-008</t>
        </is>
      </c>
      <c r="C31" s="10" t="n">
        <v>15</v>
      </c>
      <c r="D31" s="18">
        <f>IFERROR(INDEX('Menu Items'!$B$2:$B$200,MATCH(B31,'Menu Items'!$A$2:$A$200,0)),"")</f>
        <v/>
      </c>
      <c r="E31" s="14">
        <f>IFERROR(C31*INDEX('Menu Items'!$E$2:$E$200,MATCH(B31,'Menu Items'!$A$2:$A$200,0)),0)</f>
        <v/>
      </c>
    </row>
    <row r="32">
      <c r="A32" s="6" t="inlineStr">
        <is>
          <t>2026-10-13 15:00:00</t>
        </is>
      </c>
      <c r="B32" s="6" t="inlineStr">
        <is>
          <t>MI-009</t>
        </is>
      </c>
      <c r="C32" s="10" t="n">
        <v>20</v>
      </c>
      <c r="D32" s="18">
        <f>IFERROR(INDEX('Menu Items'!$B$2:$B$200,MATCH(B32,'Menu Items'!$A$2:$A$200,0)),"")</f>
        <v/>
      </c>
      <c r="E32" s="14">
        <f>IFERROR(C32*INDEX('Menu Items'!$E$2:$E$200,MATCH(B32,'Menu Items'!$A$2:$A$200,0)),0)</f>
        <v/>
      </c>
    </row>
    <row r="33">
      <c r="A33" s="6" t="inlineStr">
        <is>
          <t>2026-10-13 16:00:00</t>
        </is>
      </c>
      <c r="B33" s="6" t="inlineStr">
        <is>
          <t>MI-001</t>
        </is>
      </c>
      <c r="C33" s="10" t="n">
        <v>14</v>
      </c>
      <c r="D33" s="18">
        <f>IFERROR(INDEX('Menu Items'!$B$2:$B$200,MATCH(B33,'Menu Items'!$A$2:$A$200,0)),"")</f>
        <v/>
      </c>
      <c r="E33" s="14">
        <f>IFERROR(C33*INDEX('Menu Items'!$E$2:$E$200,MATCH(B33,'Menu Items'!$A$2:$A$200,0)),0)</f>
        <v/>
      </c>
    </row>
    <row r="34">
      <c r="A34" s="6" t="inlineStr">
        <is>
          <t>2026-10-13 17:00:00</t>
        </is>
      </c>
      <c r="B34" s="6" t="inlineStr">
        <is>
          <t>MI-003</t>
        </is>
      </c>
      <c r="C34" s="10" t="n">
        <v>23</v>
      </c>
      <c r="D34" s="18">
        <f>IFERROR(INDEX('Menu Items'!$B$2:$B$200,MATCH(B34,'Menu Items'!$A$2:$A$200,0)),"")</f>
        <v/>
      </c>
      <c r="E34" s="14">
        <f>IFERROR(C34*INDEX('Menu Items'!$E$2:$E$200,MATCH(B34,'Menu Items'!$A$2:$A$200,0)),0)</f>
        <v/>
      </c>
    </row>
    <row r="35">
      <c r="A35" s="6" t="inlineStr">
        <is>
          <t>2026-10-13 18:00:00</t>
        </is>
      </c>
      <c r="B35" s="6" t="inlineStr">
        <is>
          <t>MI-002</t>
        </is>
      </c>
      <c r="C35" s="10" t="n">
        <v>21</v>
      </c>
      <c r="D35" s="18">
        <f>IFERROR(INDEX('Menu Items'!$B$2:$B$200,MATCH(B35,'Menu Items'!$A$2:$A$200,0)),"")</f>
        <v/>
      </c>
      <c r="E35" s="14">
        <f>IFERROR(C35*INDEX('Menu Items'!$E$2:$E$200,MATCH(B35,'Menu Items'!$A$2:$A$200,0)),0)</f>
        <v/>
      </c>
    </row>
    <row r="36">
      <c r="A36" s="6" t="inlineStr">
        <is>
          <t>2026-10-13 18:00:00</t>
        </is>
      </c>
      <c r="B36" s="6" t="inlineStr">
        <is>
          <t>MI-005</t>
        </is>
      </c>
      <c r="C36" s="10" t="n">
        <v>13</v>
      </c>
      <c r="D36" s="18">
        <f>IFERROR(INDEX('Menu Items'!$B$2:$B$200,MATCH(B36,'Menu Items'!$A$2:$A$200,0)),"")</f>
        <v/>
      </c>
      <c r="E36" s="14">
        <f>IFERROR(C36*INDEX('Menu Items'!$E$2:$E$200,MATCH(B36,'Menu Items'!$A$2:$A$200,0)),0)</f>
        <v/>
      </c>
    </row>
    <row r="37">
      <c r="A37" s="6" t="inlineStr">
        <is>
          <t>2026-10-13 18:00:00</t>
        </is>
      </c>
      <c r="B37" s="6" t="inlineStr">
        <is>
          <t>MI-012</t>
        </is>
      </c>
      <c r="C37" s="10" t="n">
        <v>18</v>
      </c>
      <c r="D37" s="18">
        <f>IFERROR(INDEX('Menu Items'!$B$2:$B$200,MATCH(B37,'Menu Items'!$A$2:$A$200,0)),"")</f>
        <v/>
      </c>
      <c r="E37" s="14">
        <f>IFERROR(C37*INDEX('Menu Items'!$E$2:$E$200,MATCH(B37,'Menu Items'!$A$2:$A$200,0)),0)</f>
        <v/>
      </c>
    </row>
    <row r="38">
      <c r="A38" s="6" t="inlineStr">
        <is>
          <t>2026-10-14 08:00:00</t>
        </is>
      </c>
      <c r="B38" s="6" t="inlineStr">
        <is>
          <t>MI-008</t>
        </is>
      </c>
      <c r="C38" s="10" t="n">
        <v>22</v>
      </c>
      <c r="D38" s="18">
        <f>IFERROR(INDEX('Menu Items'!$B$2:$B$200,MATCH(B38,'Menu Items'!$A$2:$A$200,0)),"")</f>
        <v/>
      </c>
      <c r="E38" s="14">
        <f>IFERROR(C38*INDEX('Menu Items'!$E$2:$E$200,MATCH(B38,'Menu Items'!$A$2:$A$200,0)),0)</f>
        <v/>
      </c>
    </row>
    <row r="39">
      <c r="A39" s="6" t="inlineStr">
        <is>
          <t>2026-10-14 08:00:00</t>
        </is>
      </c>
      <c r="B39" s="6" t="inlineStr">
        <is>
          <t>MI-009</t>
        </is>
      </c>
      <c r="C39" s="10" t="n">
        <v>19</v>
      </c>
      <c r="D39" s="18">
        <f>IFERROR(INDEX('Menu Items'!$B$2:$B$200,MATCH(B39,'Menu Items'!$A$2:$A$200,0)),"")</f>
        <v/>
      </c>
      <c r="E39" s="14">
        <f>IFERROR(C39*INDEX('Menu Items'!$E$2:$E$200,MATCH(B39,'Menu Items'!$A$2:$A$200,0)),0)</f>
        <v/>
      </c>
    </row>
    <row r="40">
      <c r="A40" s="6" t="inlineStr">
        <is>
          <t>2026-10-14 09:00:00</t>
        </is>
      </c>
      <c r="B40" s="6" t="inlineStr">
        <is>
          <t>MI-011</t>
        </is>
      </c>
      <c r="C40" s="10" t="n">
        <v>20</v>
      </c>
      <c r="D40" s="18">
        <f>IFERROR(INDEX('Menu Items'!$B$2:$B$200,MATCH(B40,'Menu Items'!$A$2:$A$200,0)),"")</f>
        <v/>
      </c>
      <c r="E40" s="14">
        <f>IFERROR(C40*INDEX('Menu Items'!$E$2:$E$200,MATCH(B40,'Menu Items'!$A$2:$A$200,0)),0)</f>
        <v/>
      </c>
    </row>
    <row r="41">
      <c r="A41" s="6" t="inlineStr">
        <is>
          <t>2026-10-14 10:00:00</t>
        </is>
      </c>
      <c r="B41" s="6" t="inlineStr">
        <is>
          <t>MI-004</t>
        </is>
      </c>
      <c r="C41" s="10" t="n">
        <v>19</v>
      </c>
      <c r="D41" s="18">
        <f>IFERROR(INDEX('Menu Items'!$B$2:$B$200,MATCH(B41,'Menu Items'!$A$2:$A$200,0)),"")</f>
        <v/>
      </c>
      <c r="E41" s="14">
        <f>IFERROR(C41*INDEX('Menu Items'!$E$2:$E$200,MATCH(B41,'Menu Items'!$A$2:$A$200,0)),0)</f>
        <v/>
      </c>
    </row>
    <row r="42">
      <c r="A42" s="6" t="inlineStr">
        <is>
          <t>2026-10-14 11:00:00</t>
        </is>
      </c>
      <c r="B42" s="6" t="inlineStr">
        <is>
          <t>MI-007</t>
        </is>
      </c>
      <c r="C42" s="10" t="n">
        <v>29</v>
      </c>
      <c r="D42" s="18">
        <f>IFERROR(INDEX('Menu Items'!$B$2:$B$200,MATCH(B42,'Menu Items'!$A$2:$A$200,0)),"")</f>
        <v/>
      </c>
      <c r="E42" s="14">
        <f>IFERROR(C42*INDEX('Menu Items'!$E$2:$E$200,MATCH(B42,'Menu Items'!$A$2:$A$200,0)),0)</f>
        <v/>
      </c>
    </row>
    <row r="43">
      <c r="A43" s="6" t="inlineStr">
        <is>
          <t>2026-10-14 14:00:00</t>
        </is>
      </c>
      <c r="B43" s="6" t="inlineStr">
        <is>
          <t>MI-005</t>
        </is>
      </c>
      <c r="C43" s="10" t="n">
        <v>26</v>
      </c>
      <c r="D43" s="18">
        <f>IFERROR(INDEX('Menu Items'!$B$2:$B$200,MATCH(B43,'Menu Items'!$A$2:$A$200,0)),"")</f>
        <v/>
      </c>
      <c r="E43" s="14">
        <f>IFERROR(C43*INDEX('Menu Items'!$E$2:$E$200,MATCH(B43,'Menu Items'!$A$2:$A$200,0)),0)</f>
        <v/>
      </c>
    </row>
    <row r="44">
      <c r="A44" s="6" t="inlineStr">
        <is>
          <t>2026-10-14 14:00:00</t>
        </is>
      </c>
      <c r="B44" s="6" t="inlineStr">
        <is>
          <t>MI-010</t>
        </is>
      </c>
      <c r="C44" s="10" t="n">
        <v>22</v>
      </c>
      <c r="D44" s="18">
        <f>IFERROR(INDEX('Menu Items'!$B$2:$B$200,MATCH(B44,'Menu Items'!$A$2:$A$200,0)),"")</f>
        <v/>
      </c>
      <c r="E44" s="14">
        <f>IFERROR(C44*INDEX('Menu Items'!$E$2:$E$200,MATCH(B44,'Menu Items'!$A$2:$A$200,0)),0)</f>
        <v/>
      </c>
    </row>
    <row r="45">
      <c r="A45" s="6" t="inlineStr">
        <is>
          <t>2026-10-14 16:00:00</t>
        </is>
      </c>
      <c r="B45" s="6" t="inlineStr">
        <is>
          <t>MI-003</t>
        </is>
      </c>
      <c r="C45" s="10" t="n">
        <v>17</v>
      </c>
      <c r="D45" s="18">
        <f>IFERROR(INDEX('Menu Items'!$B$2:$B$200,MATCH(B45,'Menu Items'!$A$2:$A$200,0)),"")</f>
        <v/>
      </c>
      <c r="E45" s="14">
        <f>IFERROR(C45*INDEX('Menu Items'!$E$2:$E$200,MATCH(B45,'Menu Items'!$A$2:$A$200,0)),0)</f>
        <v/>
      </c>
    </row>
    <row r="46">
      <c r="A46" s="6" t="inlineStr">
        <is>
          <t>2026-10-14 17:00:00</t>
        </is>
      </c>
      <c r="B46" s="6" t="inlineStr">
        <is>
          <t>MI-002</t>
        </is>
      </c>
      <c r="C46" s="10" t="n">
        <v>14</v>
      </c>
      <c r="D46" s="18">
        <f>IFERROR(INDEX('Menu Items'!$B$2:$B$200,MATCH(B46,'Menu Items'!$A$2:$A$200,0)),"")</f>
        <v/>
      </c>
      <c r="E46" s="14">
        <f>IFERROR(C46*INDEX('Menu Items'!$E$2:$E$200,MATCH(B46,'Menu Items'!$A$2:$A$200,0)),0)</f>
        <v/>
      </c>
    </row>
    <row r="47">
      <c r="A47" s="6" t="inlineStr">
        <is>
          <t>2026-10-14 17:00:00</t>
        </is>
      </c>
      <c r="B47" s="6" t="inlineStr">
        <is>
          <t>MI-012</t>
        </is>
      </c>
      <c r="C47" s="10" t="n">
        <v>18</v>
      </c>
      <c r="D47" s="18">
        <f>IFERROR(INDEX('Menu Items'!$B$2:$B$200,MATCH(B47,'Menu Items'!$A$2:$A$200,0)),"")</f>
        <v/>
      </c>
      <c r="E47" s="14">
        <f>IFERROR(C47*INDEX('Menu Items'!$E$2:$E$200,MATCH(B47,'Menu Items'!$A$2:$A$200,0)),0)</f>
        <v/>
      </c>
    </row>
    <row r="48">
      <c r="A48" s="6" t="inlineStr">
        <is>
          <t>2026-10-14 18:00:00</t>
        </is>
      </c>
      <c r="B48" s="6" t="inlineStr">
        <is>
          <t>MI-001</t>
        </is>
      </c>
      <c r="C48" s="10" t="n">
        <v>20</v>
      </c>
      <c r="D48" s="18">
        <f>IFERROR(INDEX('Menu Items'!$B$2:$B$200,MATCH(B48,'Menu Items'!$A$2:$A$200,0)),"")</f>
        <v/>
      </c>
      <c r="E48" s="14">
        <f>IFERROR(C48*INDEX('Menu Items'!$E$2:$E$200,MATCH(B48,'Menu Items'!$A$2:$A$200,0)),0)</f>
        <v/>
      </c>
    </row>
    <row r="49">
      <c r="A49" s="6" t="inlineStr">
        <is>
          <t>2026-10-14 18:00:00</t>
        </is>
      </c>
      <c r="B49" s="6" t="inlineStr">
        <is>
          <t>MI-006</t>
        </is>
      </c>
      <c r="C49" s="10" t="n">
        <v>20</v>
      </c>
      <c r="D49" s="18">
        <f>IFERROR(INDEX('Menu Items'!$B$2:$B$200,MATCH(B49,'Menu Items'!$A$2:$A$200,0)),"")</f>
        <v/>
      </c>
      <c r="E49" s="14">
        <f>IFERROR(C49*INDEX('Menu Items'!$E$2:$E$200,MATCH(B49,'Menu Items'!$A$2:$A$200,0)),0)</f>
        <v/>
      </c>
    </row>
    <row r="50">
      <c r="A50" s="6" t="inlineStr">
        <is>
          <t>2026-10-15 09:00:00</t>
        </is>
      </c>
      <c r="B50" s="6" t="inlineStr">
        <is>
          <t>MI-011</t>
        </is>
      </c>
      <c r="C50" s="10" t="n">
        <v>27</v>
      </c>
      <c r="D50" s="18">
        <f>IFERROR(INDEX('Menu Items'!$B$2:$B$200,MATCH(B50,'Menu Items'!$A$2:$A$200,0)),"")</f>
        <v/>
      </c>
      <c r="E50" s="14">
        <f>IFERROR(C50*INDEX('Menu Items'!$E$2:$E$200,MATCH(B50,'Menu Items'!$A$2:$A$200,0)),0)</f>
        <v/>
      </c>
    </row>
    <row r="51">
      <c r="A51" s="6" t="inlineStr">
        <is>
          <t>2026-10-15 09:00:00</t>
        </is>
      </c>
      <c r="B51" s="6" t="inlineStr">
        <is>
          <t>MI-012</t>
        </is>
      </c>
      <c r="C51" s="10" t="n">
        <v>13</v>
      </c>
      <c r="D51" s="18">
        <f>IFERROR(INDEX('Menu Items'!$B$2:$B$200,MATCH(B51,'Menu Items'!$A$2:$A$200,0)),"")</f>
        <v/>
      </c>
      <c r="E51" s="14">
        <f>IFERROR(C51*INDEX('Menu Items'!$E$2:$E$200,MATCH(B51,'Menu Items'!$A$2:$A$200,0)),0)</f>
        <v/>
      </c>
    </row>
    <row r="52">
      <c r="A52" s="6" t="inlineStr">
        <is>
          <t>2026-10-15 10:00:00</t>
        </is>
      </c>
      <c r="B52" s="6" t="inlineStr">
        <is>
          <t>MI-003</t>
        </is>
      </c>
      <c r="C52" s="10" t="n">
        <v>26</v>
      </c>
      <c r="D52" s="18">
        <f>IFERROR(INDEX('Menu Items'!$B$2:$B$200,MATCH(B52,'Menu Items'!$A$2:$A$200,0)),"")</f>
        <v/>
      </c>
      <c r="E52" s="14">
        <f>IFERROR(C52*INDEX('Menu Items'!$E$2:$E$200,MATCH(B52,'Menu Items'!$A$2:$A$200,0)),0)</f>
        <v/>
      </c>
    </row>
    <row r="53">
      <c r="A53" s="6" t="inlineStr">
        <is>
          <t>2026-10-15 10:00:00</t>
        </is>
      </c>
      <c r="B53" s="6" t="inlineStr">
        <is>
          <t>MI-004</t>
        </is>
      </c>
      <c r="C53" s="10" t="n">
        <v>20</v>
      </c>
      <c r="D53" s="18">
        <f>IFERROR(INDEX('Menu Items'!$B$2:$B$200,MATCH(B53,'Menu Items'!$A$2:$A$200,0)),"")</f>
        <v/>
      </c>
      <c r="E53" s="14">
        <f>IFERROR(C53*INDEX('Menu Items'!$E$2:$E$200,MATCH(B53,'Menu Items'!$A$2:$A$200,0)),0)</f>
        <v/>
      </c>
    </row>
    <row r="54">
      <c r="A54" s="6" t="inlineStr">
        <is>
          <t>2026-10-15 11:00:00</t>
        </is>
      </c>
      <c r="B54" s="6" t="inlineStr">
        <is>
          <t>MI-001</t>
        </is>
      </c>
      <c r="C54" s="10" t="n">
        <v>22</v>
      </c>
      <c r="D54" s="18">
        <f>IFERROR(INDEX('Menu Items'!$B$2:$B$200,MATCH(B54,'Menu Items'!$A$2:$A$200,0)),"")</f>
        <v/>
      </c>
      <c r="E54" s="14">
        <f>IFERROR(C54*INDEX('Menu Items'!$E$2:$E$200,MATCH(B54,'Menu Items'!$A$2:$A$200,0)),0)</f>
        <v/>
      </c>
    </row>
    <row r="55">
      <c r="A55" s="6" t="inlineStr">
        <is>
          <t>2026-10-15 11:00:00</t>
        </is>
      </c>
      <c r="B55" s="6" t="inlineStr">
        <is>
          <t>MI-009</t>
        </is>
      </c>
      <c r="C55" s="10" t="n">
        <v>23</v>
      </c>
      <c r="D55" s="18">
        <f>IFERROR(INDEX('Menu Items'!$B$2:$B$200,MATCH(B55,'Menu Items'!$A$2:$A$200,0)),"")</f>
        <v/>
      </c>
      <c r="E55" s="14">
        <f>IFERROR(C55*INDEX('Menu Items'!$E$2:$E$200,MATCH(B55,'Menu Items'!$A$2:$A$200,0)),0)</f>
        <v/>
      </c>
    </row>
    <row r="56">
      <c r="A56" s="6" t="inlineStr">
        <is>
          <t>2026-10-15 12:00:00</t>
        </is>
      </c>
      <c r="B56" s="6" t="inlineStr">
        <is>
          <t>MI-006</t>
        </is>
      </c>
      <c r="C56" s="10" t="n">
        <v>29</v>
      </c>
      <c r="D56" s="18">
        <f>IFERROR(INDEX('Menu Items'!$B$2:$B$200,MATCH(B56,'Menu Items'!$A$2:$A$200,0)),"")</f>
        <v/>
      </c>
      <c r="E56" s="14">
        <f>IFERROR(C56*INDEX('Menu Items'!$E$2:$E$200,MATCH(B56,'Menu Items'!$A$2:$A$200,0)),0)</f>
        <v/>
      </c>
    </row>
    <row r="57">
      <c r="A57" s="6" t="inlineStr">
        <is>
          <t>2026-10-15 14:00:00</t>
        </is>
      </c>
      <c r="B57" s="6" t="inlineStr">
        <is>
          <t>MI-002</t>
        </is>
      </c>
      <c r="C57" s="10" t="n">
        <v>27</v>
      </c>
      <c r="D57" s="18">
        <f>IFERROR(INDEX('Menu Items'!$B$2:$B$200,MATCH(B57,'Menu Items'!$A$2:$A$200,0)),"")</f>
        <v/>
      </c>
      <c r="E57" s="14">
        <f>IFERROR(C57*INDEX('Menu Items'!$E$2:$E$200,MATCH(B57,'Menu Items'!$A$2:$A$200,0)),0)</f>
        <v/>
      </c>
    </row>
    <row r="58">
      <c r="A58" s="6" t="inlineStr">
        <is>
          <t>2026-10-15 14:00:00</t>
        </is>
      </c>
      <c r="B58" s="6" t="inlineStr">
        <is>
          <t>MI-007</t>
        </is>
      </c>
      <c r="C58" s="10" t="n">
        <v>30</v>
      </c>
      <c r="D58" s="18">
        <f>IFERROR(INDEX('Menu Items'!$B$2:$B$200,MATCH(B58,'Menu Items'!$A$2:$A$200,0)),"")</f>
        <v/>
      </c>
      <c r="E58" s="14">
        <f>IFERROR(C58*INDEX('Menu Items'!$E$2:$E$200,MATCH(B58,'Menu Items'!$A$2:$A$200,0)),0)</f>
        <v/>
      </c>
    </row>
    <row r="59">
      <c r="A59" s="6" t="inlineStr">
        <is>
          <t>2026-10-15 14:00:00</t>
        </is>
      </c>
      <c r="B59" s="6" t="inlineStr">
        <is>
          <t>MI-008</t>
        </is>
      </c>
      <c r="C59" s="10" t="n">
        <v>30</v>
      </c>
      <c r="D59" s="18">
        <f>IFERROR(INDEX('Menu Items'!$B$2:$B$200,MATCH(B59,'Menu Items'!$A$2:$A$200,0)),"")</f>
        <v/>
      </c>
      <c r="E59" s="14">
        <f>IFERROR(C59*INDEX('Menu Items'!$E$2:$E$200,MATCH(B59,'Menu Items'!$A$2:$A$200,0)),0)</f>
        <v/>
      </c>
    </row>
    <row r="60">
      <c r="A60" s="6" t="inlineStr">
        <is>
          <t>2026-10-15 16:00:00</t>
        </is>
      </c>
      <c r="B60" s="6" t="inlineStr">
        <is>
          <t>MI-005</t>
        </is>
      </c>
      <c r="C60" s="10" t="n">
        <v>19</v>
      </c>
      <c r="D60" s="18">
        <f>IFERROR(INDEX('Menu Items'!$B$2:$B$200,MATCH(B60,'Menu Items'!$A$2:$A$200,0)),"")</f>
        <v/>
      </c>
      <c r="E60" s="14">
        <f>IFERROR(C60*INDEX('Menu Items'!$E$2:$E$200,MATCH(B60,'Menu Items'!$A$2:$A$200,0)),0)</f>
        <v/>
      </c>
    </row>
    <row r="61">
      <c r="A61" s="6" t="inlineStr">
        <is>
          <t>2026-10-15 16:00:00</t>
        </is>
      </c>
      <c r="B61" s="6" t="inlineStr">
        <is>
          <t>MI-010</t>
        </is>
      </c>
      <c r="C61" s="10" t="n">
        <v>16</v>
      </c>
      <c r="D61" s="18">
        <f>IFERROR(INDEX('Menu Items'!$B$2:$B$200,MATCH(B61,'Menu Items'!$A$2:$A$200,0)),"")</f>
        <v/>
      </c>
      <c r="E61" s="14">
        <f>IFERROR(C61*INDEX('Menu Items'!$E$2:$E$200,MATCH(B61,'Menu Items'!$A$2:$A$200,0)),0)</f>
        <v/>
      </c>
    </row>
    <row r="62">
      <c r="A62" s="6" t="inlineStr">
        <is>
          <t>2026-10-16 09:00:00</t>
        </is>
      </c>
      <c r="B62" s="6" t="inlineStr">
        <is>
          <t>MI-011</t>
        </is>
      </c>
      <c r="C62" s="10" t="n">
        <v>22</v>
      </c>
      <c r="D62" s="18">
        <f>IFERROR(INDEX('Menu Items'!$B$2:$B$200,MATCH(B62,'Menu Items'!$A$2:$A$200,0)),"")</f>
        <v/>
      </c>
      <c r="E62" s="14">
        <f>IFERROR(C62*INDEX('Menu Items'!$E$2:$E$200,MATCH(B62,'Menu Items'!$A$2:$A$200,0)),0)</f>
        <v/>
      </c>
    </row>
    <row r="63">
      <c r="A63" s="6" t="inlineStr">
        <is>
          <t>2026-10-16 12:00:00</t>
        </is>
      </c>
      <c r="B63" s="6" t="inlineStr">
        <is>
          <t>MI-010</t>
        </is>
      </c>
      <c r="C63" s="10" t="n">
        <v>29</v>
      </c>
      <c r="D63" s="18">
        <f>IFERROR(INDEX('Menu Items'!$B$2:$B$200,MATCH(B63,'Menu Items'!$A$2:$A$200,0)),"")</f>
        <v/>
      </c>
      <c r="E63" s="14">
        <f>IFERROR(C63*INDEX('Menu Items'!$E$2:$E$200,MATCH(B63,'Menu Items'!$A$2:$A$200,0)),0)</f>
        <v/>
      </c>
    </row>
    <row r="64">
      <c r="A64" s="6" t="inlineStr">
        <is>
          <t>2026-10-16 14:00:00</t>
        </is>
      </c>
      <c r="B64" s="6" t="inlineStr">
        <is>
          <t>MI-004</t>
        </is>
      </c>
      <c r="C64" s="10" t="n">
        <v>14</v>
      </c>
      <c r="D64" s="18">
        <f>IFERROR(INDEX('Menu Items'!$B$2:$B$200,MATCH(B64,'Menu Items'!$A$2:$A$200,0)),"")</f>
        <v/>
      </c>
      <c r="E64" s="14">
        <f>IFERROR(C64*INDEX('Menu Items'!$E$2:$E$200,MATCH(B64,'Menu Items'!$A$2:$A$200,0)),0)</f>
        <v/>
      </c>
    </row>
    <row r="65">
      <c r="A65" s="6" t="inlineStr">
        <is>
          <t>2026-10-16 14:00:00</t>
        </is>
      </c>
      <c r="B65" s="6" t="inlineStr">
        <is>
          <t>MI-012</t>
        </is>
      </c>
      <c r="C65" s="10" t="n">
        <v>21</v>
      </c>
      <c r="D65" s="18">
        <f>IFERROR(INDEX('Menu Items'!$B$2:$B$200,MATCH(B65,'Menu Items'!$A$2:$A$200,0)),"")</f>
        <v/>
      </c>
      <c r="E65" s="14">
        <f>IFERROR(C65*INDEX('Menu Items'!$E$2:$E$200,MATCH(B65,'Menu Items'!$A$2:$A$200,0)),0)</f>
        <v/>
      </c>
    </row>
    <row r="66">
      <c r="A66" s="6" t="inlineStr">
        <is>
          <t>2026-10-16 16:00:00</t>
        </is>
      </c>
      <c r="B66" s="6" t="inlineStr">
        <is>
          <t>MI-006</t>
        </is>
      </c>
      <c r="C66" s="10" t="n">
        <v>26</v>
      </c>
      <c r="D66" s="18">
        <f>IFERROR(INDEX('Menu Items'!$B$2:$B$200,MATCH(B66,'Menu Items'!$A$2:$A$200,0)),"")</f>
        <v/>
      </c>
      <c r="E66" s="14">
        <f>IFERROR(C66*INDEX('Menu Items'!$E$2:$E$200,MATCH(B66,'Menu Items'!$A$2:$A$200,0)),0)</f>
        <v/>
      </c>
    </row>
    <row r="67">
      <c r="A67" s="6" t="inlineStr">
        <is>
          <t>2026-10-16 16:00:00</t>
        </is>
      </c>
      <c r="B67" s="6" t="inlineStr">
        <is>
          <t>MI-007</t>
        </is>
      </c>
      <c r="C67" s="10" t="n">
        <v>20</v>
      </c>
      <c r="D67" s="18">
        <f>IFERROR(INDEX('Menu Items'!$B$2:$B$200,MATCH(B67,'Menu Items'!$A$2:$A$200,0)),"")</f>
        <v/>
      </c>
      <c r="E67" s="14">
        <f>IFERROR(C67*INDEX('Menu Items'!$E$2:$E$200,MATCH(B67,'Menu Items'!$A$2:$A$200,0)),0)</f>
        <v/>
      </c>
    </row>
    <row r="68">
      <c r="A68" s="6" t="inlineStr">
        <is>
          <t>2026-10-16 17:00:00</t>
        </is>
      </c>
      <c r="B68" s="6" t="inlineStr">
        <is>
          <t>MI-003</t>
        </is>
      </c>
      <c r="C68" s="10" t="n">
        <v>25</v>
      </c>
      <c r="D68" s="18">
        <f>IFERROR(INDEX('Menu Items'!$B$2:$B$200,MATCH(B68,'Menu Items'!$A$2:$A$200,0)),"")</f>
        <v/>
      </c>
      <c r="E68" s="14">
        <f>IFERROR(C68*INDEX('Menu Items'!$E$2:$E$200,MATCH(B68,'Menu Items'!$A$2:$A$200,0)),0)</f>
        <v/>
      </c>
    </row>
    <row r="69">
      <c r="A69" s="6" t="inlineStr">
        <is>
          <t>2026-10-16 17:00:00</t>
        </is>
      </c>
      <c r="B69" s="6" t="inlineStr">
        <is>
          <t>MI-005</t>
        </is>
      </c>
      <c r="C69" s="10" t="n">
        <v>24</v>
      </c>
      <c r="D69" s="18">
        <f>IFERROR(INDEX('Menu Items'!$B$2:$B$200,MATCH(B69,'Menu Items'!$A$2:$A$200,0)),"")</f>
        <v/>
      </c>
      <c r="E69" s="14">
        <f>IFERROR(C69*INDEX('Menu Items'!$E$2:$E$200,MATCH(B69,'Menu Items'!$A$2:$A$200,0)),0)</f>
        <v/>
      </c>
    </row>
    <row r="70">
      <c r="A70" s="6" t="inlineStr">
        <is>
          <t>2026-10-16 18:00:00</t>
        </is>
      </c>
      <c r="B70" s="6" t="inlineStr">
        <is>
          <t>MI-001</t>
        </is>
      </c>
      <c r="C70" s="10" t="n">
        <v>16</v>
      </c>
      <c r="D70" s="18">
        <f>IFERROR(INDEX('Menu Items'!$B$2:$B$200,MATCH(B70,'Menu Items'!$A$2:$A$200,0)),"")</f>
        <v/>
      </c>
      <c r="E70" s="14">
        <f>IFERROR(C70*INDEX('Menu Items'!$E$2:$E$200,MATCH(B70,'Menu Items'!$A$2:$A$200,0)),0)</f>
        <v/>
      </c>
    </row>
    <row r="71">
      <c r="A71" s="6" t="inlineStr">
        <is>
          <t>2026-10-16 18:00:00</t>
        </is>
      </c>
      <c r="B71" s="6" t="inlineStr">
        <is>
          <t>MI-002</t>
        </is>
      </c>
      <c r="C71" s="10" t="n">
        <v>17</v>
      </c>
      <c r="D71" s="18">
        <f>IFERROR(INDEX('Menu Items'!$B$2:$B$200,MATCH(B71,'Menu Items'!$A$2:$A$200,0)),"")</f>
        <v/>
      </c>
      <c r="E71" s="14">
        <f>IFERROR(C71*INDEX('Menu Items'!$E$2:$E$200,MATCH(B71,'Menu Items'!$A$2:$A$200,0)),0)</f>
        <v/>
      </c>
    </row>
    <row r="72">
      <c r="A72" s="6" t="inlineStr">
        <is>
          <t>2026-10-16 18:00:00</t>
        </is>
      </c>
      <c r="B72" s="6" t="inlineStr">
        <is>
          <t>MI-008</t>
        </is>
      </c>
      <c r="C72" s="10" t="n">
        <v>12</v>
      </c>
      <c r="D72" s="18">
        <f>IFERROR(INDEX('Menu Items'!$B$2:$B$200,MATCH(B72,'Menu Items'!$A$2:$A$200,0)),"")</f>
        <v/>
      </c>
      <c r="E72" s="14">
        <f>IFERROR(C72*INDEX('Menu Items'!$E$2:$E$200,MATCH(B72,'Menu Items'!$A$2:$A$200,0)),0)</f>
        <v/>
      </c>
    </row>
    <row r="73">
      <c r="A73" s="6" t="inlineStr">
        <is>
          <t>2026-10-16 18:00:00</t>
        </is>
      </c>
      <c r="B73" s="6" t="inlineStr">
        <is>
          <t>MI-009</t>
        </is>
      </c>
      <c r="C73" s="10" t="n">
        <v>15</v>
      </c>
      <c r="D73" s="18">
        <f>IFERROR(INDEX('Menu Items'!$B$2:$B$200,MATCH(B73,'Menu Items'!$A$2:$A$200,0)),"")</f>
        <v/>
      </c>
      <c r="E73" s="14">
        <f>IFERROR(C73*INDEX('Menu Items'!$E$2:$E$200,MATCH(B73,'Menu Items'!$A$2:$A$200,0)),0)</f>
        <v/>
      </c>
    </row>
    <row r="74">
      <c r="A74" s="6" t="inlineStr">
        <is>
          <t>2026-10-17 09:00:00</t>
        </is>
      </c>
      <c r="B74" s="6" t="inlineStr">
        <is>
          <t>MI-004</t>
        </is>
      </c>
      <c r="C74" s="10" t="n">
        <v>28</v>
      </c>
      <c r="D74" s="18">
        <f>IFERROR(INDEX('Menu Items'!$B$2:$B$200,MATCH(B74,'Menu Items'!$A$2:$A$200,0)),"")</f>
        <v/>
      </c>
      <c r="E74" s="14">
        <f>IFERROR(C74*INDEX('Menu Items'!$E$2:$E$200,MATCH(B74,'Menu Items'!$A$2:$A$200,0)),0)</f>
        <v/>
      </c>
    </row>
    <row r="75">
      <c r="A75" s="6" t="inlineStr">
        <is>
          <t>2026-10-17 09:00:00</t>
        </is>
      </c>
      <c r="B75" s="6" t="inlineStr">
        <is>
          <t>MI-012</t>
        </is>
      </c>
      <c r="C75" s="10" t="n">
        <v>12</v>
      </c>
      <c r="D75" s="18">
        <f>IFERROR(INDEX('Menu Items'!$B$2:$B$200,MATCH(B75,'Menu Items'!$A$2:$A$200,0)),"")</f>
        <v/>
      </c>
      <c r="E75" s="14">
        <f>IFERROR(C75*INDEX('Menu Items'!$E$2:$E$200,MATCH(B75,'Menu Items'!$A$2:$A$200,0)),0)</f>
        <v/>
      </c>
    </row>
    <row r="76">
      <c r="A76" s="6" t="inlineStr">
        <is>
          <t>2026-10-17 10:00:00</t>
        </is>
      </c>
      <c r="B76" s="6" t="inlineStr">
        <is>
          <t>MI-003</t>
        </is>
      </c>
      <c r="C76" s="10" t="n">
        <v>28</v>
      </c>
      <c r="D76" s="18">
        <f>IFERROR(INDEX('Menu Items'!$B$2:$B$200,MATCH(B76,'Menu Items'!$A$2:$A$200,0)),"")</f>
        <v/>
      </c>
      <c r="E76" s="14">
        <f>IFERROR(C76*INDEX('Menu Items'!$E$2:$E$200,MATCH(B76,'Menu Items'!$A$2:$A$200,0)),0)</f>
        <v/>
      </c>
    </row>
    <row r="77">
      <c r="A77" s="6" t="inlineStr">
        <is>
          <t>2026-10-17 10:00:00</t>
        </is>
      </c>
      <c r="B77" s="6" t="inlineStr">
        <is>
          <t>MI-007</t>
        </is>
      </c>
      <c r="C77" s="10" t="n">
        <v>18</v>
      </c>
      <c r="D77" s="18">
        <f>IFERROR(INDEX('Menu Items'!$B$2:$B$200,MATCH(B77,'Menu Items'!$A$2:$A$200,0)),"")</f>
        <v/>
      </c>
      <c r="E77" s="14">
        <f>IFERROR(C77*INDEX('Menu Items'!$E$2:$E$200,MATCH(B77,'Menu Items'!$A$2:$A$200,0)),0)</f>
        <v/>
      </c>
    </row>
    <row r="78">
      <c r="A78" s="6" t="inlineStr">
        <is>
          <t>2026-10-17 10:00:00</t>
        </is>
      </c>
      <c r="B78" s="6" t="inlineStr">
        <is>
          <t>MI-008</t>
        </is>
      </c>
      <c r="C78" s="10" t="n">
        <v>23</v>
      </c>
      <c r="D78" s="18">
        <f>IFERROR(INDEX('Menu Items'!$B$2:$B$200,MATCH(B78,'Menu Items'!$A$2:$A$200,0)),"")</f>
        <v/>
      </c>
      <c r="E78" s="14">
        <f>IFERROR(C78*INDEX('Menu Items'!$E$2:$E$200,MATCH(B78,'Menu Items'!$A$2:$A$200,0)),0)</f>
        <v/>
      </c>
    </row>
    <row r="79">
      <c r="A79" s="6" t="inlineStr">
        <is>
          <t>2026-10-17 12:00:00</t>
        </is>
      </c>
      <c r="B79" s="6" t="inlineStr">
        <is>
          <t>MI-002</t>
        </is>
      </c>
      <c r="C79" s="10" t="n">
        <v>12</v>
      </c>
      <c r="D79" s="18">
        <f>IFERROR(INDEX('Menu Items'!$B$2:$B$200,MATCH(B79,'Menu Items'!$A$2:$A$200,0)),"")</f>
        <v/>
      </c>
      <c r="E79" s="14">
        <f>IFERROR(C79*INDEX('Menu Items'!$E$2:$E$200,MATCH(B79,'Menu Items'!$A$2:$A$200,0)),0)</f>
        <v/>
      </c>
    </row>
    <row r="80">
      <c r="A80" s="6" t="inlineStr">
        <is>
          <t>2026-10-17 15:00:00</t>
        </is>
      </c>
      <c r="B80" s="6" t="inlineStr">
        <is>
          <t>MI-001</t>
        </is>
      </c>
      <c r="C80" s="10" t="n">
        <v>17</v>
      </c>
      <c r="D80" s="18">
        <f>IFERROR(INDEX('Menu Items'!$B$2:$B$200,MATCH(B80,'Menu Items'!$A$2:$A$200,0)),"")</f>
        <v/>
      </c>
      <c r="E80" s="14">
        <f>IFERROR(C80*INDEX('Menu Items'!$E$2:$E$200,MATCH(B80,'Menu Items'!$A$2:$A$200,0)),0)</f>
        <v/>
      </c>
    </row>
    <row r="81">
      <c r="A81" s="6" t="inlineStr">
        <is>
          <t>2026-10-17 15:00:00</t>
        </is>
      </c>
      <c r="B81" s="6" t="inlineStr">
        <is>
          <t>MI-011</t>
        </is>
      </c>
      <c r="C81" s="10" t="n">
        <v>22</v>
      </c>
      <c r="D81" s="18">
        <f>IFERROR(INDEX('Menu Items'!$B$2:$B$200,MATCH(B81,'Menu Items'!$A$2:$A$200,0)),"")</f>
        <v/>
      </c>
      <c r="E81" s="14">
        <f>IFERROR(C81*INDEX('Menu Items'!$E$2:$E$200,MATCH(B81,'Menu Items'!$A$2:$A$200,0)),0)</f>
        <v/>
      </c>
    </row>
    <row r="82">
      <c r="A82" s="6" t="inlineStr">
        <is>
          <t>2026-10-17 16:00:00</t>
        </is>
      </c>
      <c r="B82" s="6" t="inlineStr">
        <is>
          <t>MI-009</t>
        </is>
      </c>
      <c r="C82" s="10" t="n">
        <v>29</v>
      </c>
      <c r="D82" s="18">
        <f>IFERROR(INDEX('Menu Items'!$B$2:$B$200,MATCH(B82,'Menu Items'!$A$2:$A$200,0)),"")</f>
        <v/>
      </c>
      <c r="E82" s="14">
        <f>IFERROR(C82*INDEX('Menu Items'!$E$2:$E$200,MATCH(B82,'Menu Items'!$A$2:$A$200,0)),0)</f>
        <v/>
      </c>
    </row>
    <row r="83">
      <c r="A83" s="6" t="inlineStr">
        <is>
          <t>2026-10-17 17:00:00</t>
        </is>
      </c>
      <c r="B83" s="6" t="inlineStr">
        <is>
          <t>MI-006</t>
        </is>
      </c>
      <c r="C83" s="10" t="n">
        <v>28</v>
      </c>
      <c r="D83" s="18">
        <f>IFERROR(INDEX('Menu Items'!$B$2:$B$200,MATCH(B83,'Menu Items'!$A$2:$A$200,0)),"")</f>
        <v/>
      </c>
      <c r="E83" s="14">
        <f>IFERROR(C83*INDEX('Menu Items'!$E$2:$E$200,MATCH(B83,'Menu Items'!$A$2:$A$200,0)),0)</f>
        <v/>
      </c>
    </row>
    <row r="84">
      <c r="A84" s="6" t="inlineStr">
        <is>
          <t>2026-10-17 17:00:00</t>
        </is>
      </c>
      <c r="B84" s="6" t="inlineStr">
        <is>
          <t>MI-010</t>
        </is>
      </c>
      <c r="C84" s="10" t="n">
        <v>12</v>
      </c>
      <c r="D84" s="18">
        <f>IFERROR(INDEX('Menu Items'!$B$2:$B$200,MATCH(B84,'Menu Items'!$A$2:$A$200,0)),"")</f>
        <v/>
      </c>
      <c r="E84" s="14">
        <f>IFERROR(C84*INDEX('Menu Items'!$E$2:$E$200,MATCH(B84,'Menu Items'!$A$2:$A$200,0)),0)</f>
        <v/>
      </c>
    </row>
    <row r="85">
      <c r="A85" s="6" t="inlineStr">
        <is>
          <t>2026-10-17 18:00:00</t>
        </is>
      </c>
      <c r="B85" s="6" t="inlineStr">
        <is>
          <t>MI-005</t>
        </is>
      </c>
      <c r="C85" s="10" t="n">
        <v>21</v>
      </c>
      <c r="D85" s="18">
        <f>IFERROR(INDEX('Menu Items'!$B$2:$B$200,MATCH(B85,'Menu Items'!$A$2:$A$200,0)),"")</f>
        <v/>
      </c>
      <c r="E85" s="14">
        <f>IFERROR(C85*INDEX('Menu Items'!$E$2:$E$200,MATCH(B85,'Menu Items'!$A$2:$A$200,0)),0)</f>
        <v/>
      </c>
    </row>
    <row r="86">
      <c r="A86" s="6" t="inlineStr">
        <is>
          <t>2026-10-18 08:00:00</t>
        </is>
      </c>
      <c r="B86" s="6" t="inlineStr">
        <is>
          <t>MI-002</t>
        </is>
      </c>
      <c r="C86" s="10" t="n">
        <v>19</v>
      </c>
      <c r="D86" s="18">
        <f>IFERROR(INDEX('Menu Items'!$B$2:$B$200,MATCH(B86,'Menu Items'!$A$2:$A$200,0)),"")</f>
        <v/>
      </c>
      <c r="E86" s="14">
        <f>IFERROR(C86*INDEX('Menu Items'!$E$2:$E$200,MATCH(B86,'Menu Items'!$A$2:$A$200,0)),0)</f>
        <v/>
      </c>
    </row>
    <row r="87">
      <c r="A87" s="6" t="inlineStr">
        <is>
          <t>2026-10-18 09:00:00</t>
        </is>
      </c>
      <c r="B87" s="6" t="inlineStr">
        <is>
          <t>MI-004</t>
        </is>
      </c>
      <c r="C87" s="10" t="n">
        <v>14</v>
      </c>
      <c r="D87" s="18">
        <f>IFERROR(INDEX('Menu Items'!$B$2:$B$200,MATCH(B87,'Menu Items'!$A$2:$A$200,0)),"")</f>
        <v/>
      </c>
      <c r="E87" s="14">
        <f>IFERROR(C87*INDEX('Menu Items'!$E$2:$E$200,MATCH(B87,'Menu Items'!$A$2:$A$200,0)),0)</f>
        <v/>
      </c>
    </row>
    <row r="88">
      <c r="A88" s="6" t="inlineStr">
        <is>
          <t>2026-10-18 09:00:00</t>
        </is>
      </c>
      <c r="B88" s="6" t="inlineStr">
        <is>
          <t>MI-005</t>
        </is>
      </c>
      <c r="C88" s="10" t="n">
        <v>27</v>
      </c>
      <c r="D88" s="18">
        <f>IFERROR(INDEX('Menu Items'!$B$2:$B$200,MATCH(B88,'Menu Items'!$A$2:$A$200,0)),"")</f>
        <v/>
      </c>
      <c r="E88" s="14">
        <f>IFERROR(C88*INDEX('Menu Items'!$E$2:$E$200,MATCH(B88,'Menu Items'!$A$2:$A$200,0)),0)</f>
        <v/>
      </c>
    </row>
    <row r="89">
      <c r="A89" s="6" t="inlineStr">
        <is>
          <t>2026-10-18 10:00:00</t>
        </is>
      </c>
      <c r="B89" s="6" t="inlineStr">
        <is>
          <t>MI-006</t>
        </is>
      </c>
      <c r="C89" s="10" t="n">
        <v>29</v>
      </c>
      <c r="D89" s="18">
        <f>IFERROR(INDEX('Menu Items'!$B$2:$B$200,MATCH(B89,'Menu Items'!$A$2:$A$200,0)),"")</f>
        <v/>
      </c>
      <c r="E89" s="14">
        <f>IFERROR(C89*INDEX('Menu Items'!$E$2:$E$200,MATCH(B89,'Menu Items'!$A$2:$A$200,0)),0)</f>
        <v/>
      </c>
    </row>
    <row r="90">
      <c r="A90" s="6" t="inlineStr">
        <is>
          <t>2026-10-18 11:00:00</t>
        </is>
      </c>
      <c r="B90" s="6" t="inlineStr">
        <is>
          <t>MI-011</t>
        </is>
      </c>
      <c r="C90" s="10" t="n">
        <v>25</v>
      </c>
      <c r="D90" s="18">
        <f>IFERROR(INDEX('Menu Items'!$B$2:$B$200,MATCH(B90,'Menu Items'!$A$2:$A$200,0)),"")</f>
        <v/>
      </c>
      <c r="E90" s="14">
        <f>IFERROR(C90*INDEX('Menu Items'!$E$2:$E$200,MATCH(B90,'Menu Items'!$A$2:$A$200,0)),0)</f>
        <v/>
      </c>
    </row>
    <row r="91">
      <c r="A91" s="6" t="inlineStr">
        <is>
          <t>2026-10-18 11:00:00</t>
        </is>
      </c>
      <c r="B91" s="6" t="inlineStr">
        <is>
          <t>MI-012</t>
        </is>
      </c>
      <c r="C91" s="10" t="n">
        <v>29</v>
      </c>
      <c r="D91" s="18">
        <f>IFERROR(INDEX('Menu Items'!$B$2:$B$200,MATCH(B91,'Menu Items'!$A$2:$A$200,0)),"")</f>
        <v/>
      </c>
      <c r="E91" s="14">
        <f>IFERROR(C91*INDEX('Menu Items'!$E$2:$E$200,MATCH(B91,'Menu Items'!$A$2:$A$200,0)),0)</f>
        <v/>
      </c>
    </row>
    <row r="92">
      <c r="A92" s="6" t="inlineStr">
        <is>
          <t>2026-10-18 12:00:00</t>
        </is>
      </c>
      <c r="B92" s="6" t="inlineStr">
        <is>
          <t>MI-001</t>
        </is>
      </c>
      <c r="C92" s="10" t="n">
        <v>23</v>
      </c>
      <c r="D92" s="18">
        <f>IFERROR(INDEX('Menu Items'!$B$2:$B$200,MATCH(B92,'Menu Items'!$A$2:$A$200,0)),"")</f>
        <v/>
      </c>
      <c r="E92" s="14">
        <f>IFERROR(C92*INDEX('Menu Items'!$E$2:$E$200,MATCH(B92,'Menu Items'!$A$2:$A$200,0)),0)</f>
        <v/>
      </c>
    </row>
    <row r="93">
      <c r="A93" s="6" t="inlineStr">
        <is>
          <t>2026-10-18 12:00:00</t>
        </is>
      </c>
      <c r="B93" s="6" t="inlineStr">
        <is>
          <t>MI-009</t>
        </is>
      </c>
      <c r="C93" s="10" t="n">
        <v>17</v>
      </c>
      <c r="D93" s="18">
        <f>IFERROR(INDEX('Menu Items'!$B$2:$B$200,MATCH(B93,'Menu Items'!$A$2:$A$200,0)),"")</f>
        <v/>
      </c>
      <c r="E93" s="14">
        <f>IFERROR(C93*INDEX('Menu Items'!$E$2:$E$200,MATCH(B93,'Menu Items'!$A$2:$A$200,0)),0)</f>
        <v/>
      </c>
    </row>
    <row r="94">
      <c r="A94" s="6" t="inlineStr">
        <is>
          <t>2026-10-18 16:00:00</t>
        </is>
      </c>
      <c r="B94" s="6" t="inlineStr">
        <is>
          <t>MI-008</t>
        </is>
      </c>
      <c r="C94" s="10" t="n">
        <v>27</v>
      </c>
      <c r="D94" s="18">
        <f>IFERROR(INDEX('Menu Items'!$B$2:$B$200,MATCH(B94,'Menu Items'!$A$2:$A$200,0)),"")</f>
        <v/>
      </c>
      <c r="E94" s="14">
        <f>IFERROR(C94*INDEX('Menu Items'!$E$2:$E$200,MATCH(B94,'Menu Items'!$A$2:$A$200,0)),0)</f>
        <v/>
      </c>
    </row>
    <row r="95">
      <c r="A95" s="6" t="inlineStr">
        <is>
          <t>2026-10-18 17:00:00</t>
        </is>
      </c>
      <c r="B95" s="6" t="inlineStr">
        <is>
          <t>MI-003</t>
        </is>
      </c>
      <c r="C95" s="10" t="n">
        <v>19</v>
      </c>
      <c r="D95" s="18">
        <f>IFERROR(INDEX('Menu Items'!$B$2:$B$200,MATCH(B95,'Menu Items'!$A$2:$A$200,0)),"")</f>
        <v/>
      </c>
      <c r="E95" s="14">
        <f>IFERROR(C95*INDEX('Menu Items'!$E$2:$E$200,MATCH(B95,'Menu Items'!$A$2:$A$200,0)),0)</f>
        <v/>
      </c>
    </row>
    <row r="96">
      <c r="A96" s="6" t="inlineStr">
        <is>
          <t>2026-10-18 17:00:00</t>
        </is>
      </c>
      <c r="B96" s="6" t="inlineStr">
        <is>
          <t>MI-010</t>
        </is>
      </c>
      <c r="C96" s="10" t="n">
        <v>28</v>
      </c>
      <c r="D96" s="18">
        <f>IFERROR(INDEX('Menu Items'!$B$2:$B$200,MATCH(B96,'Menu Items'!$A$2:$A$200,0)),"")</f>
        <v/>
      </c>
      <c r="E96" s="14">
        <f>IFERROR(C96*INDEX('Menu Items'!$E$2:$E$200,MATCH(B96,'Menu Items'!$A$2:$A$200,0)),0)</f>
        <v/>
      </c>
    </row>
    <row r="97">
      <c r="A97" s="6" t="inlineStr">
        <is>
          <t>2026-10-18 18:00:00</t>
        </is>
      </c>
      <c r="B97" s="6" t="inlineStr">
        <is>
          <t>MI-007</t>
        </is>
      </c>
      <c r="C97" s="10" t="n">
        <v>16</v>
      </c>
      <c r="D97" s="18">
        <f>IFERROR(INDEX('Menu Items'!$B$2:$B$200,MATCH(B97,'Menu Items'!$A$2:$A$200,0)),"")</f>
        <v/>
      </c>
      <c r="E97" s="14">
        <f>IFERROR(C97*INDEX('Menu Items'!$E$2:$E$200,MATCH(B97,'Menu Items'!$A$2:$A$200,0)),0)</f>
        <v/>
      </c>
    </row>
    <row r="98">
      <c r="A98" s="6" t="inlineStr">
        <is>
          <t>2026-10-19 08:00:00</t>
        </is>
      </c>
      <c r="B98" s="6" t="inlineStr">
        <is>
          <t>MI-006</t>
        </is>
      </c>
      <c r="C98" s="10" t="n">
        <v>22</v>
      </c>
      <c r="D98" s="18">
        <f>IFERROR(INDEX('Menu Items'!$B$2:$B$200,MATCH(B98,'Menu Items'!$A$2:$A$200,0)),"")</f>
        <v/>
      </c>
      <c r="E98" s="14">
        <f>IFERROR(C98*INDEX('Menu Items'!$E$2:$E$200,MATCH(B98,'Menu Items'!$A$2:$A$200,0)),0)</f>
        <v/>
      </c>
    </row>
    <row r="99">
      <c r="A99" s="6" t="inlineStr">
        <is>
          <t>2026-10-19 08:00:00</t>
        </is>
      </c>
      <c r="B99" s="6" t="inlineStr">
        <is>
          <t>MI-009</t>
        </is>
      </c>
      <c r="C99" s="10" t="n">
        <v>19</v>
      </c>
      <c r="D99" s="18">
        <f>IFERROR(INDEX('Menu Items'!$B$2:$B$200,MATCH(B99,'Menu Items'!$A$2:$A$200,0)),"")</f>
        <v/>
      </c>
      <c r="E99" s="14">
        <f>IFERROR(C99*INDEX('Menu Items'!$E$2:$E$200,MATCH(B99,'Menu Items'!$A$2:$A$200,0)),0)</f>
        <v/>
      </c>
    </row>
    <row r="100">
      <c r="A100" s="6" t="inlineStr">
        <is>
          <t>2026-10-19 08:00:00</t>
        </is>
      </c>
      <c r="B100" s="6" t="inlineStr">
        <is>
          <t>MI-012</t>
        </is>
      </c>
      <c r="C100" s="10" t="n">
        <v>14</v>
      </c>
      <c r="D100" s="18">
        <f>IFERROR(INDEX('Menu Items'!$B$2:$B$200,MATCH(B100,'Menu Items'!$A$2:$A$200,0)),"")</f>
        <v/>
      </c>
      <c r="E100" s="14">
        <f>IFERROR(C100*INDEX('Menu Items'!$E$2:$E$200,MATCH(B100,'Menu Items'!$A$2:$A$200,0)),0)</f>
        <v/>
      </c>
    </row>
    <row r="101">
      <c r="A101" s="6" t="inlineStr">
        <is>
          <t>2026-10-19 09:00:00</t>
        </is>
      </c>
      <c r="B101" s="6" t="inlineStr">
        <is>
          <t>MI-005</t>
        </is>
      </c>
      <c r="C101" s="10" t="n">
        <v>19</v>
      </c>
      <c r="D101" s="18">
        <f>IFERROR(INDEX('Menu Items'!$B$2:$B$200,MATCH(B101,'Menu Items'!$A$2:$A$200,0)),"")</f>
        <v/>
      </c>
      <c r="E101" s="14">
        <f>IFERROR(C101*INDEX('Menu Items'!$E$2:$E$200,MATCH(B101,'Menu Items'!$A$2:$A$200,0)),0)</f>
        <v/>
      </c>
    </row>
    <row r="102">
      <c r="A102" s="6" t="inlineStr">
        <is>
          <t>2026-10-19 11:00:00</t>
        </is>
      </c>
      <c r="B102" s="6" t="inlineStr">
        <is>
          <t>MI-004</t>
        </is>
      </c>
      <c r="C102" s="10" t="n">
        <v>15</v>
      </c>
      <c r="D102" s="18">
        <f>IFERROR(INDEX('Menu Items'!$B$2:$B$200,MATCH(B102,'Menu Items'!$A$2:$A$200,0)),"")</f>
        <v/>
      </c>
      <c r="E102" s="14">
        <f>IFERROR(C102*INDEX('Menu Items'!$E$2:$E$200,MATCH(B102,'Menu Items'!$A$2:$A$200,0)),0)</f>
        <v/>
      </c>
    </row>
    <row r="103">
      <c r="A103" s="6" t="inlineStr">
        <is>
          <t>2026-10-19 11:00:00</t>
        </is>
      </c>
      <c r="B103" s="6" t="inlineStr">
        <is>
          <t>MI-011</t>
        </is>
      </c>
      <c r="C103" s="10" t="n">
        <v>13</v>
      </c>
      <c r="D103" s="18">
        <f>IFERROR(INDEX('Menu Items'!$B$2:$B$200,MATCH(B103,'Menu Items'!$A$2:$A$200,0)),"")</f>
        <v/>
      </c>
      <c r="E103" s="14">
        <f>IFERROR(C103*INDEX('Menu Items'!$E$2:$E$200,MATCH(B103,'Menu Items'!$A$2:$A$200,0)),0)</f>
        <v/>
      </c>
    </row>
    <row r="104">
      <c r="A104" s="6" t="inlineStr">
        <is>
          <t>2026-10-19 14:00:00</t>
        </is>
      </c>
      <c r="B104" s="6" t="inlineStr">
        <is>
          <t>MI-001</t>
        </is>
      </c>
      <c r="C104" s="10" t="n">
        <v>21</v>
      </c>
      <c r="D104" s="18">
        <f>IFERROR(INDEX('Menu Items'!$B$2:$B$200,MATCH(B104,'Menu Items'!$A$2:$A$200,0)),"")</f>
        <v/>
      </c>
      <c r="E104" s="14">
        <f>IFERROR(C104*INDEX('Menu Items'!$E$2:$E$200,MATCH(B104,'Menu Items'!$A$2:$A$200,0)),0)</f>
        <v/>
      </c>
    </row>
    <row r="105">
      <c r="A105" s="6" t="inlineStr">
        <is>
          <t>2026-10-19 15:00:00</t>
        </is>
      </c>
      <c r="B105" s="6" t="inlineStr">
        <is>
          <t>MI-002</t>
        </is>
      </c>
      <c r="C105" s="10" t="n">
        <v>23</v>
      </c>
      <c r="D105" s="18">
        <f>IFERROR(INDEX('Menu Items'!$B$2:$B$200,MATCH(B105,'Menu Items'!$A$2:$A$200,0)),"")</f>
        <v/>
      </c>
      <c r="E105" s="14">
        <f>IFERROR(C105*INDEX('Menu Items'!$E$2:$E$200,MATCH(B105,'Menu Items'!$A$2:$A$200,0)),0)</f>
        <v/>
      </c>
    </row>
    <row r="106">
      <c r="A106" s="6" t="inlineStr">
        <is>
          <t>2026-10-19 15:00:00</t>
        </is>
      </c>
      <c r="B106" s="6" t="inlineStr">
        <is>
          <t>MI-003</t>
        </is>
      </c>
      <c r="C106" s="10" t="n">
        <v>28</v>
      </c>
      <c r="D106" s="18">
        <f>IFERROR(INDEX('Menu Items'!$B$2:$B$200,MATCH(B106,'Menu Items'!$A$2:$A$200,0)),"")</f>
        <v/>
      </c>
      <c r="E106" s="14">
        <f>IFERROR(C106*INDEX('Menu Items'!$E$2:$E$200,MATCH(B106,'Menu Items'!$A$2:$A$200,0)),0)</f>
        <v/>
      </c>
    </row>
    <row r="107">
      <c r="A107" s="6" t="inlineStr">
        <is>
          <t>2026-10-19 16:00:00</t>
        </is>
      </c>
      <c r="B107" s="6" t="inlineStr">
        <is>
          <t>MI-007</t>
        </is>
      </c>
      <c r="C107" s="10" t="n">
        <v>30</v>
      </c>
      <c r="D107" s="18">
        <f>IFERROR(INDEX('Menu Items'!$B$2:$B$200,MATCH(B107,'Menu Items'!$A$2:$A$200,0)),"")</f>
        <v/>
      </c>
      <c r="E107" s="14">
        <f>IFERROR(C107*INDEX('Menu Items'!$E$2:$E$200,MATCH(B107,'Menu Items'!$A$2:$A$200,0)),0)</f>
        <v/>
      </c>
    </row>
    <row r="108">
      <c r="A108" s="6" t="inlineStr">
        <is>
          <t>2026-10-19 17:00:00</t>
        </is>
      </c>
      <c r="B108" s="6" t="inlineStr">
        <is>
          <t>MI-008</t>
        </is>
      </c>
      <c r="C108" s="10" t="n">
        <v>19</v>
      </c>
      <c r="D108" s="18">
        <f>IFERROR(INDEX('Menu Items'!$B$2:$B$200,MATCH(B108,'Menu Items'!$A$2:$A$200,0)),"")</f>
        <v/>
      </c>
      <c r="E108" s="14">
        <f>IFERROR(C108*INDEX('Menu Items'!$E$2:$E$200,MATCH(B108,'Menu Items'!$A$2:$A$200,0)),0)</f>
        <v/>
      </c>
    </row>
    <row r="109">
      <c r="A109" s="6" t="inlineStr">
        <is>
          <t>2026-10-19 18:00:00</t>
        </is>
      </c>
      <c r="B109" s="6" t="inlineStr">
        <is>
          <t>MI-010</t>
        </is>
      </c>
      <c r="C109" s="10" t="n">
        <v>14</v>
      </c>
      <c r="D109" s="18">
        <f>IFERROR(INDEX('Menu Items'!$B$2:$B$200,MATCH(B109,'Menu Items'!$A$2:$A$200,0)),"")</f>
        <v/>
      </c>
      <c r="E109" s="14">
        <f>IFERROR(C109*INDEX('Menu Items'!$E$2:$E$200,MATCH(B109,'Menu Items'!$A$2:$A$200,0)),0)</f>
        <v/>
      </c>
    </row>
    <row r="110">
      <c r="A110" s="6" t="inlineStr">
        <is>
          <t>2026-10-20 09:00:00</t>
        </is>
      </c>
      <c r="B110" s="6" t="inlineStr">
        <is>
          <t>MI-001</t>
        </is>
      </c>
      <c r="C110" s="10" t="n">
        <v>22</v>
      </c>
      <c r="D110" s="18">
        <f>IFERROR(INDEX('Menu Items'!$B$2:$B$200,MATCH(B110,'Menu Items'!$A$2:$A$200,0)),"")</f>
        <v/>
      </c>
      <c r="E110" s="14">
        <f>IFERROR(C110*INDEX('Menu Items'!$E$2:$E$200,MATCH(B110,'Menu Items'!$A$2:$A$200,0)),0)</f>
        <v/>
      </c>
    </row>
    <row r="111">
      <c r="A111" s="6" t="inlineStr">
        <is>
          <t>2026-10-20 09:00:00</t>
        </is>
      </c>
      <c r="B111" s="6" t="inlineStr">
        <is>
          <t>MI-009</t>
        </is>
      </c>
      <c r="C111" s="10" t="n">
        <v>18</v>
      </c>
      <c r="D111" s="18">
        <f>IFERROR(INDEX('Menu Items'!$B$2:$B$200,MATCH(B111,'Menu Items'!$A$2:$A$200,0)),"")</f>
        <v/>
      </c>
      <c r="E111" s="14">
        <f>IFERROR(C111*INDEX('Menu Items'!$E$2:$E$200,MATCH(B111,'Menu Items'!$A$2:$A$200,0)),0)</f>
        <v/>
      </c>
    </row>
    <row r="112">
      <c r="A112" s="6" t="inlineStr">
        <is>
          <t>2026-10-20 10:00:00</t>
        </is>
      </c>
      <c r="B112" s="6" t="inlineStr">
        <is>
          <t>MI-005</t>
        </is>
      </c>
      <c r="C112" s="10" t="n">
        <v>29</v>
      </c>
      <c r="D112" s="18">
        <f>IFERROR(INDEX('Menu Items'!$B$2:$B$200,MATCH(B112,'Menu Items'!$A$2:$A$200,0)),"")</f>
        <v/>
      </c>
      <c r="E112" s="14">
        <f>IFERROR(C112*INDEX('Menu Items'!$E$2:$E$200,MATCH(B112,'Menu Items'!$A$2:$A$200,0)),0)</f>
        <v/>
      </c>
    </row>
    <row r="113">
      <c r="A113" s="6" t="inlineStr">
        <is>
          <t>2026-10-20 11:00:00</t>
        </is>
      </c>
      <c r="B113" s="6" t="inlineStr">
        <is>
          <t>MI-002</t>
        </is>
      </c>
      <c r="C113" s="10" t="n">
        <v>28</v>
      </c>
      <c r="D113" s="18">
        <f>IFERROR(INDEX('Menu Items'!$B$2:$B$200,MATCH(B113,'Menu Items'!$A$2:$A$200,0)),"")</f>
        <v/>
      </c>
      <c r="E113" s="14">
        <f>IFERROR(C113*INDEX('Menu Items'!$E$2:$E$200,MATCH(B113,'Menu Items'!$A$2:$A$200,0)),0)</f>
        <v/>
      </c>
    </row>
    <row r="114">
      <c r="A114" s="6" t="inlineStr">
        <is>
          <t>2026-10-20 11:00:00</t>
        </is>
      </c>
      <c r="B114" s="6" t="inlineStr">
        <is>
          <t>MI-004</t>
        </is>
      </c>
      <c r="C114" s="10" t="n">
        <v>27</v>
      </c>
      <c r="D114" s="18">
        <f>IFERROR(INDEX('Menu Items'!$B$2:$B$200,MATCH(B114,'Menu Items'!$A$2:$A$200,0)),"")</f>
        <v/>
      </c>
      <c r="E114" s="14">
        <f>IFERROR(C114*INDEX('Menu Items'!$E$2:$E$200,MATCH(B114,'Menu Items'!$A$2:$A$200,0)),0)</f>
        <v/>
      </c>
    </row>
    <row r="115">
      <c r="A115" s="6" t="inlineStr">
        <is>
          <t>2026-10-20 11:00:00</t>
        </is>
      </c>
      <c r="B115" s="6" t="inlineStr">
        <is>
          <t>MI-007</t>
        </is>
      </c>
      <c r="C115" s="10" t="n">
        <v>27</v>
      </c>
      <c r="D115" s="18">
        <f>IFERROR(INDEX('Menu Items'!$B$2:$B$200,MATCH(B115,'Menu Items'!$A$2:$A$200,0)),"")</f>
        <v/>
      </c>
      <c r="E115" s="14">
        <f>IFERROR(C115*INDEX('Menu Items'!$E$2:$E$200,MATCH(B115,'Menu Items'!$A$2:$A$200,0)),0)</f>
        <v/>
      </c>
    </row>
    <row r="116">
      <c r="A116" s="6" t="inlineStr">
        <is>
          <t>2026-10-20 13:00:00</t>
        </is>
      </c>
      <c r="B116" s="6" t="inlineStr">
        <is>
          <t>MI-011</t>
        </is>
      </c>
      <c r="C116" s="10" t="n">
        <v>25</v>
      </c>
      <c r="D116" s="18">
        <f>IFERROR(INDEX('Menu Items'!$B$2:$B$200,MATCH(B116,'Menu Items'!$A$2:$A$200,0)),"")</f>
        <v/>
      </c>
      <c r="E116" s="14">
        <f>IFERROR(C116*INDEX('Menu Items'!$E$2:$E$200,MATCH(B116,'Menu Items'!$A$2:$A$200,0)),0)</f>
        <v/>
      </c>
    </row>
    <row r="117">
      <c r="A117" s="6" t="inlineStr">
        <is>
          <t>2026-10-20 14:00:00</t>
        </is>
      </c>
      <c r="B117" s="6" t="inlineStr">
        <is>
          <t>MI-008</t>
        </is>
      </c>
      <c r="C117" s="10" t="n">
        <v>27</v>
      </c>
      <c r="D117" s="18">
        <f>IFERROR(INDEX('Menu Items'!$B$2:$B$200,MATCH(B117,'Menu Items'!$A$2:$A$200,0)),"")</f>
        <v/>
      </c>
      <c r="E117" s="14">
        <f>IFERROR(C117*INDEX('Menu Items'!$E$2:$E$200,MATCH(B117,'Menu Items'!$A$2:$A$200,0)),0)</f>
        <v/>
      </c>
    </row>
    <row r="118">
      <c r="A118" s="6" t="inlineStr">
        <is>
          <t>2026-10-20 14:00:00</t>
        </is>
      </c>
      <c r="B118" s="6" t="inlineStr">
        <is>
          <t>MI-012</t>
        </is>
      </c>
      <c r="C118" s="10" t="n">
        <v>25</v>
      </c>
      <c r="D118" s="18">
        <f>IFERROR(INDEX('Menu Items'!$B$2:$B$200,MATCH(B118,'Menu Items'!$A$2:$A$200,0)),"")</f>
        <v/>
      </c>
      <c r="E118" s="14">
        <f>IFERROR(C118*INDEX('Menu Items'!$E$2:$E$200,MATCH(B118,'Menu Items'!$A$2:$A$200,0)),0)</f>
        <v/>
      </c>
    </row>
    <row r="119">
      <c r="A119" s="6" t="inlineStr">
        <is>
          <t>2026-10-20 17:00:00</t>
        </is>
      </c>
      <c r="B119" s="6" t="inlineStr">
        <is>
          <t>MI-006</t>
        </is>
      </c>
      <c r="C119" s="10" t="n">
        <v>30</v>
      </c>
      <c r="D119" s="18">
        <f>IFERROR(INDEX('Menu Items'!$B$2:$B$200,MATCH(B119,'Menu Items'!$A$2:$A$200,0)),"")</f>
        <v/>
      </c>
      <c r="E119" s="14">
        <f>IFERROR(C119*INDEX('Menu Items'!$E$2:$E$200,MATCH(B119,'Menu Items'!$A$2:$A$200,0)),0)</f>
        <v/>
      </c>
    </row>
    <row r="120">
      <c r="A120" s="6" t="inlineStr">
        <is>
          <t>2026-10-20 18:00:00</t>
        </is>
      </c>
      <c r="B120" s="6" t="inlineStr">
        <is>
          <t>MI-003</t>
        </is>
      </c>
      <c r="C120" s="10" t="n">
        <v>20</v>
      </c>
      <c r="D120" s="18">
        <f>IFERROR(INDEX('Menu Items'!$B$2:$B$200,MATCH(B120,'Menu Items'!$A$2:$A$200,0)),"")</f>
        <v/>
      </c>
      <c r="E120" s="14">
        <f>IFERROR(C120*INDEX('Menu Items'!$E$2:$E$200,MATCH(B120,'Menu Items'!$A$2:$A$200,0)),0)</f>
        <v/>
      </c>
    </row>
    <row r="121">
      <c r="A121" s="6" t="inlineStr">
        <is>
          <t>2026-10-20 18:00:00</t>
        </is>
      </c>
      <c r="B121" s="6" t="inlineStr">
        <is>
          <t>MI-010</t>
        </is>
      </c>
      <c r="C121" s="10" t="n">
        <v>15</v>
      </c>
      <c r="D121" s="18">
        <f>IFERROR(INDEX('Menu Items'!$B$2:$B$200,MATCH(B121,'Menu Items'!$A$2:$A$200,0)),"")</f>
        <v/>
      </c>
      <c r="E121" s="14">
        <f>IFERROR(C121*INDEX('Menu Items'!$E$2:$E$200,MATCH(B121,'Menu Items'!$A$2:$A$200,0)),0)</f>
        <v/>
      </c>
    </row>
    <row r="122">
      <c r="A122" s="6" t="inlineStr">
        <is>
          <t>2026-10-21 08:00:00</t>
        </is>
      </c>
      <c r="B122" s="6" t="inlineStr">
        <is>
          <t>MI-001</t>
        </is>
      </c>
      <c r="C122" s="10" t="n">
        <v>26</v>
      </c>
      <c r="D122" s="18">
        <f>IFERROR(INDEX('Menu Items'!$B$2:$B$200,MATCH(B122,'Menu Items'!$A$2:$A$200,0)),"")</f>
        <v/>
      </c>
      <c r="E122" s="14">
        <f>IFERROR(C122*INDEX('Menu Items'!$E$2:$E$200,MATCH(B122,'Menu Items'!$A$2:$A$200,0)),0)</f>
        <v/>
      </c>
    </row>
    <row r="123">
      <c r="A123" s="6" t="inlineStr">
        <is>
          <t>2026-10-21 08:00:00</t>
        </is>
      </c>
      <c r="B123" s="6" t="inlineStr">
        <is>
          <t>MI-002</t>
        </is>
      </c>
      <c r="C123" s="10" t="n">
        <v>15</v>
      </c>
      <c r="D123" s="18">
        <f>IFERROR(INDEX('Menu Items'!$B$2:$B$200,MATCH(B123,'Menu Items'!$A$2:$A$200,0)),"")</f>
        <v/>
      </c>
      <c r="E123" s="14">
        <f>IFERROR(C123*INDEX('Menu Items'!$E$2:$E$200,MATCH(B123,'Menu Items'!$A$2:$A$200,0)),0)</f>
        <v/>
      </c>
    </row>
    <row r="124">
      <c r="A124" s="6" t="inlineStr">
        <is>
          <t>2026-10-21 09:00:00</t>
        </is>
      </c>
      <c r="B124" s="6" t="inlineStr">
        <is>
          <t>MI-011</t>
        </is>
      </c>
      <c r="C124" s="10" t="n">
        <v>29</v>
      </c>
      <c r="D124" s="18">
        <f>IFERROR(INDEX('Menu Items'!$B$2:$B$200,MATCH(B124,'Menu Items'!$A$2:$A$200,0)),"")</f>
        <v/>
      </c>
      <c r="E124" s="14">
        <f>IFERROR(C124*INDEX('Menu Items'!$E$2:$E$200,MATCH(B124,'Menu Items'!$A$2:$A$200,0)),0)</f>
        <v/>
      </c>
    </row>
    <row r="125">
      <c r="A125" s="6" t="inlineStr">
        <is>
          <t>2026-10-21 11:00:00</t>
        </is>
      </c>
      <c r="B125" s="6" t="inlineStr">
        <is>
          <t>MI-004</t>
        </is>
      </c>
      <c r="C125" s="10" t="n">
        <v>15</v>
      </c>
      <c r="D125" s="18">
        <f>IFERROR(INDEX('Menu Items'!$B$2:$B$200,MATCH(B125,'Menu Items'!$A$2:$A$200,0)),"")</f>
        <v/>
      </c>
      <c r="E125" s="14">
        <f>IFERROR(C125*INDEX('Menu Items'!$E$2:$E$200,MATCH(B125,'Menu Items'!$A$2:$A$200,0)),0)</f>
        <v/>
      </c>
    </row>
    <row r="126">
      <c r="A126" s="6" t="inlineStr">
        <is>
          <t>2026-10-21 11:00:00</t>
        </is>
      </c>
      <c r="B126" s="6" t="inlineStr">
        <is>
          <t>MI-005</t>
        </is>
      </c>
      <c r="C126" s="10" t="n">
        <v>18</v>
      </c>
      <c r="D126" s="18">
        <f>IFERROR(INDEX('Menu Items'!$B$2:$B$200,MATCH(B126,'Menu Items'!$A$2:$A$200,0)),"")</f>
        <v/>
      </c>
      <c r="E126" s="14">
        <f>IFERROR(C126*INDEX('Menu Items'!$E$2:$E$200,MATCH(B126,'Menu Items'!$A$2:$A$200,0)),0)</f>
        <v/>
      </c>
    </row>
    <row r="127">
      <c r="A127" s="6" t="inlineStr">
        <is>
          <t>2026-10-21 11:00:00</t>
        </is>
      </c>
      <c r="B127" s="6" t="inlineStr">
        <is>
          <t>MI-009</t>
        </is>
      </c>
      <c r="C127" s="10" t="n">
        <v>26</v>
      </c>
      <c r="D127" s="18">
        <f>IFERROR(INDEX('Menu Items'!$B$2:$B$200,MATCH(B127,'Menu Items'!$A$2:$A$200,0)),"")</f>
        <v/>
      </c>
      <c r="E127" s="14">
        <f>IFERROR(C127*INDEX('Menu Items'!$E$2:$E$200,MATCH(B127,'Menu Items'!$A$2:$A$200,0)),0)</f>
        <v/>
      </c>
    </row>
    <row r="128">
      <c r="A128" s="6" t="inlineStr">
        <is>
          <t>2026-10-21 12:00:00</t>
        </is>
      </c>
      <c r="B128" s="6" t="inlineStr">
        <is>
          <t>MI-008</t>
        </is>
      </c>
      <c r="C128" s="10" t="n">
        <v>17</v>
      </c>
      <c r="D128" s="18">
        <f>IFERROR(INDEX('Menu Items'!$B$2:$B$200,MATCH(B128,'Menu Items'!$A$2:$A$200,0)),"")</f>
        <v/>
      </c>
      <c r="E128" s="14">
        <f>IFERROR(C128*INDEX('Menu Items'!$E$2:$E$200,MATCH(B128,'Menu Items'!$A$2:$A$200,0)),0)</f>
        <v/>
      </c>
    </row>
    <row r="129">
      <c r="A129" s="6" t="inlineStr">
        <is>
          <t>2026-10-21 13:00:00</t>
        </is>
      </c>
      <c r="B129" s="6" t="inlineStr">
        <is>
          <t>MI-003</t>
        </is>
      </c>
      <c r="C129" s="10" t="n">
        <v>24</v>
      </c>
      <c r="D129" s="18">
        <f>IFERROR(INDEX('Menu Items'!$B$2:$B$200,MATCH(B129,'Menu Items'!$A$2:$A$200,0)),"")</f>
        <v/>
      </c>
      <c r="E129" s="14">
        <f>IFERROR(C129*INDEX('Menu Items'!$E$2:$E$200,MATCH(B129,'Menu Items'!$A$2:$A$200,0)),0)</f>
        <v/>
      </c>
    </row>
    <row r="130">
      <c r="A130" s="6" t="inlineStr">
        <is>
          <t>2026-10-21 14:00:00</t>
        </is>
      </c>
      <c r="B130" s="6" t="inlineStr">
        <is>
          <t>MI-007</t>
        </is>
      </c>
      <c r="C130" s="10" t="n">
        <v>16</v>
      </c>
      <c r="D130" s="18">
        <f>IFERROR(INDEX('Menu Items'!$B$2:$B$200,MATCH(B130,'Menu Items'!$A$2:$A$200,0)),"")</f>
        <v/>
      </c>
      <c r="E130" s="14">
        <f>IFERROR(C130*INDEX('Menu Items'!$E$2:$E$200,MATCH(B130,'Menu Items'!$A$2:$A$200,0)),0)</f>
        <v/>
      </c>
    </row>
    <row r="131">
      <c r="A131" s="6" t="inlineStr">
        <is>
          <t>2026-10-21 15:00:00</t>
        </is>
      </c>
      <c r="B131" s="6" t="inlineStr">
        <is>
          <t>MI-006</t>
        </is>
      </c>
      <c r="C131" s="10" t="n">
        <v>29</v>
      </c>
      <c r="D131" s="18">
        <f>IFERROR(INDEX('Menu Items'!$B$2:$B$200,MATCH(B131,'Menu Items'!$A$2:$A$200,0)),"")</f>
        <v/>
      </c>
      <c r="E131" s="14">
        <f>IFERROR(C131*INDEX('Menu Items'!$E$2:$E$200,MATCH(B131,'Menu Items'!$A$2:$A$200,0)),0)</f>
        <v/>
      </c>
    </row>
    <row r="132">
      <c r="A132" s="6" t="inlineStr">
        <is>
          <t>2026-10-21 15:00:00</t>
        </is>
      </c>
      <c r="B132" s="6" t="inlineStr">
        <is>
          <t>MI-010</t>
        </is>
      </c>
      <c r="C132" s="10" t="n">
        <v>14</v>
      </c>
      <c r="D132" s="18">
        <f>IFERROR(INDEX('Menu Items'!$B$2:$B$200,MATCH(B132,'Menu Items'!$A$2:$A$200,0)),"")</f>
        <v/>
      </c>
      <c r="E132" s="14">
        <f>IFERROR(C132*INDEX('Menu Items'!$E$2:$E$200,MATCH(B132,'Menu Items'!$A$2:$A$200,0)),0)</f>
        <v/>
      </c>
    </row>
    <row r="133">
      <c r="A133" s="6" t="inlineStr">
        <is>
          <t>2026-10-21 18:00:00</t>
        </is>
      </c>
      <c r="B133" s="6" t="inlineStr">
        <is>
          <t>MI-012</t>
        </is>
      </c>
      <c r="C133" s="10" t="n">
        <v>13</v>
      </c>
      <c r="D133" s="18">
        <f>IFERROR(INDEX('Menu Items'!$B$2:$B$200,MATCH(B133,'Menu Items'!$A$2:$A$200,0)),"")</f>
        <v/>
      </c>
      <c r="E133" s="14">
        <f>IFERROR(C133*INDEX('Menu Items'!$E$2:$E$200,MATCH(B133,'Menu Items'!$A$2:$A$200,0)),0)</f>
        <v/>
      </c>
    </row>
    <row r="134">
      <c r="A134" s="6" t="inlineStr">
        <is>
          <t>2026-10-22 08:00:00</t>
        </is>
      </c>
      <c r="B134" s="6" t="inlineStr">
        <is>
          <t>MI-001</t>
        </is>
      </c>
      <c r="C134" s="10" t="n">
        <v>29</v>
      </c>
      <c r="D134" s="18">
        <f>IFERROR(INDEX('Menu Items'!$B$2:$B$200,MATCH(B134,'Menu Items'!$A$2:$A$200,0)),"")</f>
        <v/>
      </c>
      <c r="E134" s="14">
        <f>IFERROR(C134*INDEX('Menu Items'!$E$2:$E$200,MATCH(B134,'Menu Items'!$A$2:$A$200,0)),0)</f>
        <v/>
      </c>
    </row>
    <row r="135">
      <c r="A135" s="6" t="inlineStr">
        <is>
          <t>2026-10-22 08:00:00</t>
        </is>
      </c>
      <c r="B135" s="6" t="inlineStr">
        <is>
          <t>MI-007</t>
        </is>
      </c>
      <c r="C135" s="10" t="n">
        <v>24</v>
      </c>
      <c r="D135" s="18">
        <f>IFERROR(INDEX('Menu Items'!$B$2:$B$200,MATCH(B135,'Menu Items'!$A$2:$A$200,0)),"")</f>
        <v/>
      </c>
      <c r="E135" s="14">
        <f>IFERROR(C135*INDEX('Menu Items'!$E$2:$E$200,MATCH(B135,'Menu Items'!$A$2:$A$200,0)),0)</f>
        <v/>
      </c>
    </row>
    <row r="136">
      <c r="A136" s="6" t="inlineStr">
        <is>
          <t>2026-10-22 10:00:00</t>
        </is>
      </c>
      <c r="B136" s="6" t="inlineStr">
        <is>
          <t>MI-006</t>
        </is>
      </c>
      <c r="C136" s="10" t="n">
        <v>13</v>
      </c>
      <c r="D136" s="18">
        <f>IFERROR(INDEX('Menu Items'!$B$2:$B$200,MATCH(B136,'Menu Items'!$A$2:$A$200,0)),"")</f>
        <v/>
      </c>
      <c r="E136" s="14">
        <f>IFERROR(C136*INDEX('Menu Items'!$E$2:$E$200,MATCH(B136,'Menu Items'!$A$2:$A$200,0)),0)</f>
        <v/>
      </c>
    </row>
    <row r="137">
      <c r="A137" s="6" t="inlineStr">
        <is>
          <t>2026-10-22 10:00:00</t>
        </is>
      </c>
      <c r="B137" s="6" t="inlineStr">
        <is>
          <t>MI-011</t>
        </is>
      </c>
      <c r="C137" s="10" t="n">
        <v>27</v>
      </c>
      <c r="D137" s="18">
        <f>IFERROR(INDEX('Menu Items'!$B$2:$B$200,MATCH(B137,'Menu Items'!$A$2:$A$200,0)),"")</f>
        <v/>
      </c>
      <c r="E137" s="14">
        <f>IFERROR(C137*INDEX('Menu Items'!$E$2:$E$200,MATCH(B137,'Menu Items'!$A$2:$A$200,0)),0)</f>
        <v/>
      </c>
    </row>
    <row r="138">
      <c r="A138" s="6" t="inlineStr">
        <is>
          <t>2026-10-22 11:00:00</t>
        </is>
      </c>
      <c r="B138" s="6" t="inlineStr">
        <is>
          <t>MI-002</t>
        </is>
      </c>
      <c r="C138" s="10" t="n">
        <v>14</v>
      </c>
      <c r="D138" s="18">
        <f>IFERROR(INDEX('Menu Items'!$B$2:$B$200,MATCH(B138,'Menu Items'!$A$2:$A$200,0)),"")</f>
        <v/>
      </c>
      <c r="E138" s="14">
        <f>IFERROR(C138*INDEX('Menu Items'!$E$2:$E$200,MATCH(B138,'Menu Items'!$A$2:$A$200,0)),0)</f>
        <v/>
      </c>
    </row>
    <row r="139">
      <c r="A139" s="6" t="inlineStr">
        <is>
          <t>2026-10-22 12:00:00</t>
        </is>
      </c>
      <c r="B139" s="6" t="inlineStr">
        <is>
          <t>MI-008</t>
        </is>
      </c>
      <c r="C139" s="10" t="n">
        <v>24</v>
      </c>
      <c r="D139" s="18">
        <f>IFERROR(INDEX('Menu Items'!$B$2:$B$200,MATCH(B139,'Menu Items'!$A$2:$A$200,0)),"")</f>
        <v/>
      </c>
      <c r="E139" s="14">
        <f>IFERROR(C139*INDEX('Menu Items'!$E$2:$E$200,MATCH(B139,'Menu Items'!$A$2:$A$200,0)),0)</f>
        <v/>
      </c>
    </row>
    <row r="140">
      <c r="A140" s="6" t="inlineStr">
        <is>
          <t>2026-10-22 12:00:00</t>
        </is>
      </c>
      <c r="B140" s="6" t="inlineStr">
        <is>
          <t>MI-009</t>
        </is>
      </c>
      <c r="C140" s="10" t="n">
        <v>26</v>
      </c>
      <c r="D140" s="18">
        <f>IFERROR(INDEX('Menu Items'!$B$2:$B$200,MATCH(B140,'Menu Items'!$A$2:$A$200,0)),"")</f>
        <v/>
      </c>
      <c r="E140" s="14">
        <f>IFERROR(C140*INDEX('Menu Items'!$E$2:$E$200,MATCH(B140,'Menu Items'!$A$2:$A$200,0)),0)</f>
        <v/>
      </c>
    </row>
    <row r="141">
      <c r="A141" s="6" t="inlineStr">
        <is>
          <t>2026-10-22 12:00:00</t>
        </is>
      </c>
      <c r="B141" s="6" t="inlineStr">
        <is>
          <t>MI-012</t>
        </is>
      </c>
      <c r="C141" s="10" t="n">
        <v>18</v>
      </c>
      <c r="D141" s="18">
        <f>IFERROR(INDEX('Menu Items'!$B$2:$B$200,MATCH(B141,'Menu Items'!$A$2:$A$200,0)),"")</f>
        <v/>
      </c>
      <c r="E141" s="14">
        <f>IFERROR(C141*INDEX('Menu Items'!$E$2:$E$200,MATCH(B141,'Menu Items'!$A$2:$A$200,0)),0)</f>
        <v/>
      </c>
    </row>
    <row r="142">
      <c r="A142" s="6" t="inlineStr">
        <is>
          <t>2026-10-22 14:00:00</t>
        </is>
      </c>
      <c r="B142" s="6" t="inlineStr">
        <is>
          <t>MI-003</t>
        </is>
      </c>
      <c r="C142" s="10" t="n">
        <v>17</v>
      </c>
      <c r="D142" s="18">
        <f>IFERROR(INDEX('Menu Items'!$B$2:$B$200,MATCH(B142,'Menu Items'!$A$2:$A$200,0)),"")</f>
        <v/>
      </c>
      <c r="E142" s="14">
        <f>IFERROR(C142*INDEX('Menu Items'!$E$2:$E$200,MATCH(B142,'Menu Items'!$A$2:$A$200,0)),0)</f>
        <v/>
      </c>
    </row>
    <row r="143">
      <c r="A143" s="6" t="inlineStr">
        <is>
          <t>2026-10-22 14:00:00</t>
        </is>
      </c>
      <c r="B143" s="6" t="inlineStr">
        <is>
          <t>MI-005</t>
        </is>
      </c>
      <c r="C143" s="10" t="n">
        <v>18</v>
      </c>
      <c r="D143" s="18">
        <f>IFERROR(INDEX('Menu Items'!$B$2:$B$200,MATCH(B143,'Menu Items'!$A$2:$A$200,0)),"")</f>
        <v/>
      </c>
      <c r="E143" s="14">
        <f>IFERROR(C143*INDEX('Menu Items'!$E$2:$E$200,MATCH(B143,'Menu Items'!$A$2:$A$200,0)),0)</f>
        <v/>
      </c>
    </row>
    <row r="144">
      <c r="A144" s="6" t="inlineStr">
        <is>
          <t>2026-10-22 15:00:00</t>
        </is>
      </c>
      <c r="B144" s="6" t="inlineStr">
        <is>
          <t>MI-004</t>
        </is>
      </c>
      <c r="C144" s="10" t="n">
        <v>27</v>
      </c>
      <c r="D144" s="18">
        <f>IFERROR(INDEX('Menu Items'!$B$2:$B$200,MATCH(B144,'Menu Items'!$A$2:$A$200,0)),"")</f>
        <v/>
      </c>
      <c r="E144" s="14">
        <f>IFERROR(C144*INDEX('Menu Items'!$E$2:$E$200,MATCH(B144,'Menu Items'!$A$2:$A$200,0)),0)</f>
        <v/>
      </c>
    </row>
    <row r="145">
      <c r="A145" s="6" t="inlineStr">
        <is>
          <t>2026-10-22 16:00:00</t>
        </is>
      </c>
      <c r="B145" s="6" t="inlineStr">
        <is>
          <t>MI-010</t>
        </is>
      </c>
      <c r="C145" s="10" t="n">
        <v>25</v>
      </c>
      <c r="D145" s="18">
        <f>IFERROR(INDEX('Menu Items'!$B$2:$B$200,MATCH(B145,'Menu Items'!$A$2:$A$200,0)),"")</f>
        <v/>
      </c>
      <c r="E145" s="14">
        <f>IFERROR(C145*INDEX('Menu Items'!$E$2:$E$200,MATCH(B145,'Menu Items'!$A$2:$A$200,0)),0)</f>
        <v/>
      </c>
    </row>
    <row r="146">
      <c r="A146" s="6" t="inlineStr">
        <is>
          <t>2026-10-23 08:00:00</t>
        </is>
      </c>
      <c r="B146" s="6" t="inlineStr">
        <is>
          <t>MI-001</t>
        </is>
      </c>
      <c r="C146" s="10" t="n">
        <v>18</v>
      </c>
      <c r="D146" s="18">
        <f>IFERROR(INDEX('Menu Items'!$B$2:$B$200,MATCH(B146,'Menu Items'!$A$2:$A$200,0)),"")</f>
        <v/>
      </c>
      <c r="E146" s="14">
        <f>IFERROR(C146*INDEX('Menu Items'!$E$2:$E$200,MATCH(B146,'Menu Items'!$A$2:$A$200,0)),0)</f>
        <v/>
      </c>
    </row>
    <row r="147">
      <c r="A147" s="6" t="inlineStr">
        <is>
          <t>2026-10-23 08:00:00</t>
        </is>
      </c>
      <c r="B147" s="6" t="inlineStr">
        <is>
          <t>MI-004</t>
        </is>
      </c>
      <c r="C147" s="10" t="n">
        <v>13</v>
      </c>
      <c r="D147" s="18">
        <f>IFERROR(INDEX('Menu Items'!$B$2:$B$200,MATCH(B147,'Menu Items'!$A$2:$A$200,0)),"")</f>
        <v/>
      </c>
      <c r="E147" s="14">
        <f>IFERROR(C147*INDEX('Menu Items'!$E$2:$E$200,MATCH(B147,'Menu Items'!$A$2:$A$200,0)),0)</f>
        <v/>
      </c>
    </row>
    <row r="148">
      <c r="A148" s="6" t="inlineStr">
        <is>
          <t>2026-10-23 08:00:00</t>
        </is>
      </c>
      <c r="B148" s="6" t="inlineStr">
        <is>
          <t>MI-007</t>
        </is>
      </c>
      <c r="C148" s="10" t="n">
        <v>17</v>
      </c>
      <c r="D148" s="18">
        <f>IFERROR(INDEX('Menu Items'!$B$2:$B$200,MATCH(B148,'Menu Items'!$A$2:$A$200,0)),"")</f>
        <v/>
      </c>
      <c r="E148" s="14">
        <f>IFERROR(C148*INDEX('Menu Items'!$E$2:$E$200,MATCH(B148,'Menu Items'!$A$2:$A$200,0)),0)</f>
        <v/>
      </c>
    </row>
    <row r="149">
      <c r="A149" s="6" t="inlineStr">
        <is>
          <t>2026-10-23 09:00:00</t>
        </is>
      </c>
      <c r="B149" s="6" t="inlineStr">
        <is>
          <t>MI-008</t>
        </is>
      </c>
      <c r="C149" s="10" t="n">
        <v>28</v>
      </c>
      <c r="D149" s="18">
        <f>IFERROR(INDEX('Menu Items'!$B$2:$B$200,MATCH(B149,'Menu Items'!$A$2:$A$200,0)),"")</f>
        <v/>
      </c>
      <c r="E149" s="14">
        <f>IFERROR(C149*INDEX('Menu Items'!$E$2:$E$200,MATCH(B149,'Menu Items'!$A$2:$A$200,0)),0)</f>
        <v/>
      </c>
    </row>
    <row r="150">
      <c r="A150" s="6" t="inlineStr">
        <is>
          <t>2026-10-23 09:00:00</t>
        </is>
      </c>
      <c r="B150" s="6" t="inlineStr">
        <is>
          <t>MI-009</t>
        </is>
      </c>
      <c r="C150" s="10" t="n">
        <v>17</v>
      </c>
      <c r="D150" s="18">
        <f>IFERROR(INDEX('Menu Items'!$B$2:$B$200,MATCH(B150,'Menu Items'!$A$2:$A$200,0)),"")</f>
        <v/>
      </c>
      <c r="E150" s="14">
        <f>IFERROR(C150*INDEX('Menu Items'!$E$2:$E$200,MATCH(B150,'Menu Items'!$A$2:$A$200,0)),0)</f>
        <v/>
      </c>
    </row>
    <row r="151">
      <c r="A151" s="6" t="inlineStr">
        <is>
          <t>2026-10-23 13:00:00</t>
        </is>
      </c>
      <c r="B151" s="6" t="inlineStr">
        <is>
          <t>MI-003</t>
        </is>
      </c>
      <c r="C151" s="10" t="n">
        <v>13</v>
      </c>
      <c r="D151" s="18">
        <f>IFERROR(INDEX('Menu Items'!$B$2:$B$200,MATCH(B151,'Menu Items'!$A$2:$A$200,0)),"")</f>
        <v/>
      </c>
      <c r="E151" s="14">
        <f>IFERROR(C151*INDEX('Menu Items'!$E$2:$E$200,MATCH(B151,'Menu Items'!$A$2:$A$200,0)),0)</f>
        <v/>
      </c>
    </row>
    <row r="152">
      <c r="A152" s="6" t="inlineStr">
        <is>
          <t>2026-10-23 14:00:00</t>
        </is>
      </c>
      <c r="B152" s="6" t="inlineStr">
        <is>
          <t>MI-011</t>
        </is>
      </c>
      <c r="C152" s="10" t="n">
        <v>19</v>
      </c>
      <c r="D152" s="18">
        <f>IFERROR(INDEX('Menu Items'!$B$2:$B$200,MATCH(B152,'Menu Items'!$A$2:$A$200,0)),"")</f>
        <v/>
      </c>
      <c r="E152" s="14">
        <f>IFERROR(C152*INDEX('Menu Items'!$E$2:$E$200,MATCH(B152,'Menu Items'!$A$2:$A$200,0)),0)</f>
        <v/>
      </c>
    </row>
    <row r="153">
      <c r="A153" s="6" t="inlineStr">
        <is>
          <t>2026-10-23 15:00:00</t>
        </is>
      </c>
      <c r="B153" s="6" t="inlineStr">
        <is>
          <t>MI-005</t>
        </is>
      </c>
      <c r="C153" s="10" t="n">
        <v>30</v>
      </c>
      <c r="D153" s="18">
        <f>IFERROR(INDEX('Menu Items'!$B$2:$B$200,MATCH(B153,'Menu Items'!$A$2:$A$200,0)),"")</f>
        <v/>
      </c>
      <c r="E153" s="14">
        <f>IFERROR(C153*INDEX('Menu Items'!$E$2:$E$200,MATCH(B153,'Menu Items'!$A$2:$A$200,0)),0)</f>
        <v/>
      </c>
    </row>
    <row r="154">
      <c r="A154" s="6" t="inlineStr">
        <is>
          <t>2026-10-23 16:00:00</t>
        </is>
      </c>
      <c r="B154" s="6" t="inlineStr">
        <is>
          <t>MI-002</t>
        </is>
      </c>
      <c r="C154" s="10" t="n">
        <v>30</v>
      </c>
      <c r="D154" s="18">
        <f>IFERROR(INDEX('Menu Items'!$B$2:$B$200,MATCH(B154,'Menu Items'!$A$2:$A$200,0)),"")</f>
        <v/>
      </c>
      <c r="E154" s="14">
        <f>IFERROR(C154*INDEX('Menu Items'!$E$2:$E$200,MATCH(B154,'Menu Items'!$A$2:$A$200,0)),0)</f>
        <v/>
      </c>
    </row>
    <row r="155">
      <c r="A155" s="6" t="inlineStr">
        <is>
          <t>2026-10-23 16:00:00</t>
        </is>
      </c>
      <c r="B155" s="6" t="inlineStr">
        <is>
          <t>MI-006</t>
        </is>
      </c>
      <c r="C155" s="10" t="n">
        <v>28</v>
      </c>
      <c r="D155" s="18">
        <f>IFERROR(INDEX('Menu Items'!$B$2:$B$200,MATCH(B155,'Menu Items'!$A$2:$A$200,0)),"")</f>
        <v/>
      </c>
      <c r="E155" s="14">
        <f>IFERROR(C155*INDEX('Menu Items'!$E$2:$E$200,MATCH(B155,'Menu Items'!$A$2:$A$200,0)),0)</f>
        <v/>
      </c>
    </row>
    <row r="156">
      <c r="A156" s="6" t="inlineStr">
        <is>
          <t>2026-10-23 17:00:00</t>
        </is>
      </c>
      <c r="B156" s="6" t="inlineStr">
        <is>
          <t>MI-012</t>
        </is>
      </c>
      <c r="C156" s="10" t="n">
        <v>15</v>
      </c>
      <c r="D156" s="18">
        <f>IFERROR(INDEX('Menu Items'!$B$2:$B$200,MATCH(B156,'Menu Items'!$A$2:$A$200,0)),"")</f>
        <v/>
      </c>
      <c r="E156" s="14">
        <f>IFERROR(C156*INDEX('Menu Items'!$E$2:$E$200,MATCH(B156,'Menu Items'!$A$2:$A$200,0)),0)</f>
        <v/>
      </c>
    </row>
    <row r="157">
      <c r="A157" s="6" t="inlineStr">
        <is>
          <t>2026-10-23 18:00:00</t>
        </is>
      </c>
      <c r="B157" s="6" t="inlineStr">
        <is>
          <t>MI-010</t>
        </is>
      </c>
      <c r="C157" s="10" t="n">
        <v>14</v>
      </c>
      <c r="D157" s="18">
        <f>IFERROR(INDEX('Menu Items'!$B$2:$B$200,MATCH(B157,'Menu Items'!$A$2:$A$200,0)),"")</f>
        <v/>
      </c>
      <c r="E157" s="14">
        <f>IFERROR(C157*INDEX('Menu Items'!$E$2:$E$200,MATCH(B157,'Menu Items'!$A$2:$A$200,0)),0)</f>
        <v/>
      </c>
    </row>
    <row r="158">
      <c r="A158" s="6" t="inlineStr">
        <is>
          <t>2026-10-24 09:00:00</t>
        </is>
      </c>
      <c r="B158" s="6" t="inlineStr">
        <is>
          <t>MI-011</t>
        </is>
      </c>
      <c r="C158" s="10" t="n">
        <v>22</v>
      </c>
      <c r="D158" s="18">
        <f>IFERROR(INDEX('Menu Items'!$B$2:$B$200,MATCH(B158,'Menu Items'!$A$2:$A$200,0)),"")</f>
        <v/>
      </c>
      <c r="E158" s="14">
        <f>IFERROR(C158*INDEX('Menu Items'!$E$2:$E$200,MATCH(B158,'Menu Items'!$A$2:$A$200,0)),0)</f>
        <v/>
      </c>
    </row>
    <row r="159">
      <c r="A159" s="6" t="inlineStr">
        <is>
          <t>2026-10-24 11:00:00</t>
        </is>
      </c>
      <c r="B159" s="6" t="inlineStr">
        <is>
          <t>MI-006</t>
        </is>
      </c>
      <c r="C159" s="10" t="n">
        <v>20</v>
      </c>
      <c r="D159" s="18">
        <f>IFERROR(INDEX('Menu Items'!$B$2:$B$200,MATCH(B159,'Menu Items'!$A$2:$A$200,0)),"")</f>
        <v/>
      </c>
      <c r="E159" s="14">
        <f>IFERROR(C159*INDEX('Menu Items'!$E$2:$E$200,MATCH(B159,'Menu Items'!$A$2:$A$200,0)),0)</f>
        <v/>
      </c>
    </row>
    <row r="160">
      <c r="A160" s="6" t="inlineStr">
        <is>
          <t>2026-10-24 11:00:00</t>
        </is>
      </c>
      <c r="B160" s="6" t="inlineStr">
        <is>
          <t>MI-007</t>
        </is>
      </c>
      <c r="C160" s="10" t="n">
        <v>22</v>
      </c>
      <c r="D160" s="18">
        <f>IFERROR(INDEX('Menu Items'!$B$2:$B$200,MATCH(B160,'Menu Items'!$A$2:$A$200,0)),"")</f>
        <v/>
      </c>
      <c r="E160" s="14">
        <f>IFERROR(C160*INDEX('Menu Items'!$E$2:$E$200,MATCH(B160,'Menu Items'!$A$2:$A$200,0)),0)</f>
        <v/>
      </c>
    </row>
    <row r="161">
      <c r="A161" s="6" t="inlineStr">
        <is>
          <t>2026-10-24 13:00:00</t>
        </is>
      </c>
      <c r="B161" s="6" t="inlineStr">
        <is>
          <t>MI-005</t>
        </is>
      </c>
      <c r="C161" s="10" t="n">
        <v>28</v>
      </c>
      <c r="D161" s="18">
        <f>IFERROR(INDEX('Menu Items'!$B$2:$B$200,MATCH(B161,'Menu Items'!$A$2:$A$200,0)),"")</f>
        <v/>
      </c>
      <c r="E161" s="14">
        <f>IFERROR(C161*INDEX('Menu Items'!$E$2:$E$200,MATCH(B161,'Menu Items'!$A$2:$A$200,0)),0)</f>
        <v/>
      </c>
    </row>
    <row r="162">
      <c r="A162" s="6" t="inlineStr">
        <is>
          <t>2026-10-24 14:00:00</t>
        </is>
      </c>
      <c r="B162" s="6" t="inlineStr">
        <is>
          <t>MI-003</t>
        </is>
      </c>
      <c r="C162" s="10" t="n">
        <v>14</v>
      </c>
      <c r="D162" s="18">
        <f>IFERROR(INDEX('Menu Items'!$B$2:$B$200,MATCH(B162,'Menu Items'!$A$2:$A$200,0)),"")</f>
        <v/>
      </c>
      <c r="E162" s="14">
        <f>IFERROR(C162*INDEX('Menu Items'!$E$2:$E$200,MATCH(B162,'Menu Items'!$A$2:$A$200,0)),0)</f>
        <v/>
      </c>
    </row>
    <row r="163">
      <c r="A163" s="6" t="inlineStr">
        <is>
          <t>2026-10-24 14:00:00</t>
        </is>
      </c>
      <c r="B163" s="6" t="inlineStr">
        <is>
          <t>MI-008</t>
        </is>
      </c>
      <c r="C163" s="10" t="n">
        <v>20</v>
      </c>
      <c r="D163" s="18">
        <f>IFERROR(INDEX('Menu Items'!$B$2:$B$200,MATCH(B163,'Menu Items'!$A$2:$A$200,0)),"")</f>
        <v/>
      </c>
      <c r="E163" s="14">
        <f>IFERROR(C163*INDEX('Menu Items'!$E$2:$E$200,MATCH(B163,'Menu Items'!$A$2:$A$200,0)),0)</f>
        <v/>
      </c>
    </row>
    <row r="164">
      <c r="A164" s="6" t="inlineStr">
        <is>
          <t>2026-10-24 15:00:00</t>
        </is>
      </c>
      <c r="B164" s="6" t="inlineStr">
        <is>
          <t>MI-010</t>
        </is>
      </c>
      <c r="C164" s="10" t="n">
        <v>21</v>
      </c>
      <c r="D164" s="18">
        <f>IFERROR(INDEX('Menu Items'!$B$2:$B$200,MATCH(B164,'Menu Items'!$A$2:$A$200,0)),"")</f>
        <v/>
      </c>
      <c r="E164" s="14">
        <f>IFERROR(C164*INDEX('Menu Items'!$E$2:$E$200,MATCH(B164,'Menu Items'!$A$2:$A$200,0)),0)</f>
        <v/>
      </c>
    </row>
    <row r="165">
      <c r="A165" s="6" t="inlineStr">
        <is>
          <t>2026-10-24 15:00:00</t>
        </is>
      </c>
      <c r="B165" s="6" t="inlineStr">
        <is>
          <t>MI-012</t>
        </is>
      </c>
      <c r="C165" s="10" t="n">
        <v>12</v>
      </c>
      <c r="D165" s="18">
        <f>IFERROR(INDEX('Menu Items'!$B$2:$B$200,MATCH(B165,'Menu Items'!$A$2:$A$200,0)),"")</f>
        <v/>
      </c>
      <c r="E165" s="14">
        <f>IFERROR(C165*INDEX('Menu Items'!$E$2:$E$200,MATCH(B165,'Menu Items'!$A$2:$A$200,0)),0)</f>
        <v/>
      </c>
    </row>
    <row r="166">
      <c r="A166" s="6" t="inlineStr">
        <is>
          <t>2026-10-24 17:00:00</t>
        </is>
      </c>
      <c r="B166" s="6" t="inlineStr">
        <is>
          <t>MI-001</t>
        </is>
      </c>
      <c r="C166" s="10" t="n">
        <v>19</v>
      </c>
      <c r="D166" s="18">
        <f>IFERROR(INDEX('Menu Items'!$B$2:$B$200,MATCH(B166,'Menu Items'!$A$2:$A$200,0)),"")</f>
        <v/>
      </c>
      <c r="E166" s="14">
        <f>IFERROR(C166*INDEX('Menu Items'!$E$2:$E$200,MATCH(B166,'Menu Items'!$A$2:$A$200,0)),0)</f>
        <v/>
      </c>
    </row>
    <row r="167">
      <c r="A167" s="6" t="inlineStr">
        <is>
          <t>2026-10-24 17:00:00</t>
        </is>
      </c>
      <c r="B167" s="6" t="inlineStr">
        <is>
          <t>MI-002</t>
        </is>
      </c>
      <c r="C167" s="10" t="n">
        <v>13</v>
      </c>
      <c r="D167" s="18">
        <f>IFERROR(INDEX('Menu Items'!$B$2:$B$200,MATCH(B167,'Menu Items'!$A$2:$A$200,0)),"")</f>
        <v/>
      </c>
      <c r="E167" s="14">
        <f>IFERROR(C167*INDEX('Menu Items'!$E$2:$E$200,MATCH(B167,'Menu Items'!$A$2:$A$200,0)),0)</f>
        <v/>
      </c>
    </row>
    <row r="168">
      <c r="A168" s="6" t="inlineStr">
        <is>
          <t>2026-10-24 17:00:00</t>
        </is>
      </c>
      <c r="B168" s="6" t="inlineStr">
        <is>
          <t>MI-004</t>
        </is>
      </c>
      <c r="C168" s="10" t="n">
        <v>30</v>
      </c>
      <c r="D168" s="18">
        <f>IFERROR(INDEX('Menu Items'!$B$2:$B$200,MATCH(B168,'Menu Items'!$A$2:$A$200,0)),"")</f>
        <v/>
      </c>
      <c r="E168" s="14">
        <f>IFERROR(C168*INDEX('Menu Items'!$E$2:$E$200,MATCH(B168,'Menu Items'!$A$2:$A$200,0)),0)</f>
        <v/>
      </c>
    </row>
    <row r="169">
      <c r="A169" s="6" t="inlineStr">
        <is>
          <t>2026-10-24 18:00:00</t>
        </is>
      </c>
      <c r="B169" s="6" t="inlineStr">
        <is>
          <t>MI-009</t>
        </is>
      </c>
      <c r="C169" s="10" t="n">
        <v>16</v>
      </c>
      <c r="D169" s="18">
        <f>IFERROR(INDEX('Menu Items'!$B$2:$B$200,MATCH(B169,'Menu Items'!$A$2:$A$200,0)),"")</f>
        <v/>
      </c>
      <c r="E169" s="14">
        <f>IFERROR(C169*INDEX('Menu Items'!$E$2:$E$200,MATCH(B169,'Menu Items'!$A$2:$A$200,0)),0)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0" customWidth="1" min="5" max="5"/>
    <col width="15" customWidth="1" min="6" max="6"/>
    <col width="24" customWidth="1" min="7" max="7"/>
    <col width="8" customWidth="1" min="8" max="8"/>
  </cols>
  <sheetData>
    <row r="1" ht="42" customHeight="1">
      <c r="A1" s="4" t="inlineStr">
        <is>
          <t>Employee ID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Hourly Rate ($)</t>
        </is>
      </c>
      <c r="E1" s="4" t="inlineStr">
        <is>
          <t>Max Hours / Week</t>
        </is>
      </c>
      <c r="F1" s="4" t="inlineStr">
        <is>
          <t>Phone</t>
        </is>
      </c>
      <c r="G1" s="4" t="inlineStr">
        <is>
          <t>Email</t>
        </is>
      </c>
      <c r="H1" s="4" t="inlineStr">
        <is>
          <t>Active</t>
        </is>
      </c>
    </row>
    <row r="2">
      <c r="A2" s="6" t="inlineStr">
        <is>
          <t>EMP-001</t>
        </is>
      </c>
      <c r="B2" s="6" t="inlineStr">
        <is>
          <t>Maya Torres</t>
        </is>
      </c>
      <c r="C2" s="6" t="inlineStr">
        <is>
          <t>Manager</t>
        </is>
      </c>
      <c r="D2" s="8" t="n">
        <v>24</v>
      </c>
      <c r="E2" s="32" t="n">
        <v>40</v>
      </c>
      <c r="F2" s="6" t="inlineStr"/>
      <c r="G2" s="6" t="inlineStr"/>
      <c r="H2" s="6" t="inlineStr">
        <is>
          <t>Yes</t>
        </is>
      </c>
    </row>
    <row r="3">
      <c r="A3" s="6" t="inlineStr">
        <is>
          <t>EMP-002</t>
        </is>
      </c>
      <c r="B3" s="6" t="inlineStr">
        <is>
          <t>Jordan Lee</t>
        </is>
      </c>
      <c r="C3" s="6" t="inlineStr">
        <is>
          <t>Shift Lead</t>
        </is>
      </c>
      <c r="D3" s="8" t="n">
        <v>19.5</v>
      </c>
      <c r="E3" s="32" t="n">
        <v>40</v>
      </c>
      <c r="F3" s="6" t="inlineStr"/>
      <c r="G3" s="6" t="inlineStr"/>
      <c r="H3" s="6" t="inlineStr">
        <is>
          <t>Yes</t>
        </is>
      </c>
    </row>
    <row r="4">
      <c r="A4" s="6" t="inlineStr">
        <is>
          <t>EMP-003</t>
        </is>
      </c>
      <c r="B4" s="6" t="inlineStr">
        <is>
          <t>Sam Patel</t>
        </is>
      </c>
      <c r="C4" s="6" t="inlineStr">
        <is>
          <t>Juicer</t>
        </is>
      </c>
      <c r="D4" s="8" t="n">
        <v>16.5</v>
      </c>
      <c r="E4" s="32" t="n">
        <v>40</v>
      </c>
      <c r="F4" s="6" t="inlineStr"/>
      <c r="G4" s="6" t="inlineStr"/>
      <c r="H4" s="6" t="inlineStr">
        <is>
          <t>Yes</t>
        </is>
      </c>
    </row>
    <row r="5">
      <c r="A5" s="6" t="inlineStr">
        <is>
          <t>EMP-004</t>
        </is>
      </c>
      <c r="B5" s="6" t="inlineStr">
        <is>
          <t>Alex Kim</t>
        </is>
      </c>
      <c r="C5" s="6" t="inlineStr">
        <is>
          <t>Juicer</t>
        </is>
      </c>
      <c r="D5" s="8" t="n">
        <v>16</v>
      </c>
      <c r="E5" s="32" t="n">
        <v>30</v>
      </c>
      <c r="F5" s="6" t="inlineStr"/>
      <c r="G5" s="6" t="inlineStr"/>
      <c r="H5" s="6" t="inlineStr">
        <is>
          <t>Yes</t>
        </is>
      </c>
    </row>
    <row r="6">
      <c r="A6" s="6" t="inlineStr">
        <is>
          <t>EMP-005</t>
        </is>
      </c>
      <c r="B6" s="6" t="inlineStr">
        <is>
          <t>Riley Chen</t>
        </is>
      </c>
      <c r="C6" s="6" t="inlineStr">
        <is>
          <t>Juicer</t>
        </is>
      </c>
      <c r="D6" s="8" t="n">
        <v>16</v>
      </c>
      <c r="E6" s="32" t="n">
        <v>30</v>
      </c>
      <c r="F6" s="6" t="inlineStr"/>
      <c r="G6" s="6" t="inlineStr"/>
      <c r="H6" s="6" t="inlineStr">
        <is>
          <t>Yes</t>
        </is>
      </c>
    </row>
    <row r="7">
      <c r="A7" s="6" t="inlineStr">
        <is>
          <t>EMP-006</t>
        </is>
      </c>
      <c r="B7" s="6" t="inlineStr">
        <is>
          <t>Casey Brooks</t>
        </is>
      </c>
      <c r="C7" s="6" t="inlineStr">
        <is>
          <t>Cashier</t>
        </is>
      </c>
      <c r="D7" s="8" t="n">
        <v>15.5</v>
      </c>
      <c r="E7" s="32" t="n">
        <v>28</v>
      </c>
      <c r="F7" s="6" t="inlineStr"/>
      <c r="G7" s="6" t="inlineStr"/>
      <c r="H7" s="6" t="inlineStr">
        <is>
          <t>Yes</t>
        </is>
      </c>
    </row>
  </sheetData>
  <autoFilter ref="A1:H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6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12" customWidth="1" min="4" max="4"/>
    <col width="20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1" customWidth="1" min="12" max="12"/>
    <col width="24" customWidth="1" min="13" max="13"/>
  </cols>
  <sheetData>
    <row r="1" ht="42" customHeight="1">
      <c r="A1" s="4" t="inlineStr">
        <is>
          <t>Shift ID</t>
        </is>
      </c>
      <c r="B1" s="4" t="inlineStr">
        <is>
          <t>Date</t>
        </is>
      </c>
      <c r="C1" s="5" t="inlineStr">
        <is>
          <t>Day</t>
        </is>
      </c>
      <c r="D1" s="4" t="inlineStr">
        <is>
          <t>Employee ID</t>
        </is>
      </c>
      <c r="E1" s="5" t="inlineStr">
        <is>
          <t>Employee</t>
        </is>
      </c>
      <c r="F1" s="4" t="inlineStr">
        <is>
          <t>Role</t>
        </is>
      </c>
      <c r="G1" s="4" t="inlineStr">
        <is>
          <t>Start</t>
        </is>
      </c>
      <c r="H1" s="4" t="inlineStr">
        <is>
          <t>End</t>
        </is>
      </c>
      <c r="I1" s="5" t="inlineStr">
        <is>
          <t>Hours</t>
        </is>
      </c>
      <c r="J1" s="5" t="inlineStr">
        <is>
          <t>Hourly Rate ($)</t>
        </is>
      </c>
      <c r="K1" s="5" t="inlineStr">
        <is>
          <t>Labor Cost ($)</t>
        </is>
      </c>
      <c r="L1" s="5" t="inlineStr">
        <is>
          <t>Week Of</t>
        </is>
      </c>
      <c r="M1" s="4" t="inlineStr">
        <is>
          <t>Notes</t>
        </is>
      </c>
    </row>
    <row r="2">
      <c r="A2" s="6" t="inlineStr">
        <is>
          <t>SH-001</t>
        </is>
      </c>
      <c r="B2" s="33" t="n">
        <v>46307</v>
      </c>
      <c r="C2" s="13">
        <f>TEXT(B2,"ddd")</f>
        <v/>
      </c>
      <c r="D2" s="6" t="inlineStr">
        <is>
          <t>EMP-001</t>
        </is>
      </c>
      <c r="E2" s="18">
        <f>IF(D2="OPEN","OPEN SHIFT",IFERROR(INDEX(Staff!$B$2:$B$100,MATCH(D2,Staff!$A$2:$A$100,0)),""))</f>
        <v/>
      </c>
      <c r="F2" s="6" t="inlineStr">
        <is>
          <t>Manager</t>
        </is>
      </c>
      <c r="G2" s="34" t="n">
        <v>0.2708333333333333</v>
      </c>
      <c r="H2" s="34" t="n">
        <v>0.6041666666666666</v>
      </c>
      <c r="I2" s="35">
        <f>MOD(H2-G2,1)*24</f>
        <v/>
      </c>
      <c r="J2" s="29">
        <f>IFERROR(INDEX(Staff!$D$2:$D$100,MATCH(D2,Staff!$A$2:$A$100,0)),0)</f>
        <v/>
      </c>
      <c r="K2" s="14">
        <f>I2*J2</f>
        <v/>
      </c>
      <c r="L2" s="30">
        <f>B2-WEEKDAY(B2,3)</f>
        <v/>
      </c>
      <c r="M2" s="6" t="inlineStr"/>
    </row>
    <row r="3">
      <c r="A3" s="6" t="inlineStr">
        <is>
          <t>SH-011</t>
        </is>
      </c>
      <c r="B3" s="33" t="n">
        <v>46307</v>
      </c>
      <c r="C3" s="13">
        <f>TEXT(B3,"ddd")</f>
        <v/>
      </c>
      <c r="D3" s="6" t="inlineStr">
        <is>
          <t>EMP-003</t>
        </is>
      </c>
      <c r="E3" s="18">
        <f>IF(D3="OPEN","OPEN SHIFT",IFERROR(INDEX(Staff!$B$2:$B$100,MATCH(D3,Staff!$A$2:$A$100,0)),""))</f>
        <v/>
      </c>
      <c r="F3" s="6" t="inlineStr">
        <is>
          <t>Juicer</t>
        </is>
      </c>
      <c r="G3" s="34" t="n">
        <v>0.2708333333333333</v>
      </c>
      <c r="H3" s="34" t="n">
        <v>0.6041666666666666</v>
      </c>
      <c r="I3" s="35">
        <f>MOD(H3-G3,1)*24</f>
        <v/>
      </c>
      <c r="J3" s="29">
        <f>IFERROR(INDEX(Staff!$D$2:$D$100,MATCH(D3,Staff!$A$2:$A$100,0)),0)</f>
        <v/>
      </c>
      <c r="K3" s="14">
        <f>I3*J3</f>
        <v/>
      </c>
      <c r="L3" s="30">
        <f>B3-WEEKDAY(B3,3)</f>
        <v/>
      </c>
      <c r="M3" s="6" t="inlineStr"/>
    </row>
    <row r="4">
      <c r="A4" s="6" t="inlineStr">
        <is>
          <t>SH-024</t>
        </is>
      </c>
      <c r="B4" s="33" t="n">
        <v>46307</v>
      </c>
      <c r="C4" s="13">
        <f>TEXT(B4,"ddd")</f>
        <v/>
      </c>
      <c r="D4" s="6" t="inlineStr">
        <is>
          <t>EMP-006</t>
        </is>
      </c>
      <c r="E4" s="18">
        <f>IF(D4="OPEN","OPEN SHIFT",IFERROR(INDEX(Staff!$B$2:$B$100,MATCH(D4,Staff!$A$2:$A$100,0)),""))</f>
        <v/>
      </c>
      <c r="F4" s="6" t="inlineStr">
        <is>
          <t>Cashier</t>
        </is>
      </c>
      <c r="G4" s="34" t="n">
        <v>0.4166666666666667</v>
      </c>
      <c r="H4" s="34" t="n">
        <v>0.6666666666666666</v>
      </c>
      <c r="I4" s="35">
        <f>MOD(H4-G4,1)*24</f>
        <v/>
      </c>
      <c r="J4" s="29">
        <f>IFERROR(INDEX(Staff!$D$2:$D$100,MATCH(D4,Staff!$A$2:$A$100,0)),0)</f>
        <v/>
      </c>
      <c r="K4" s="14">
        <f>I4*J4</f>
        <v/>
      </c>
      <c r="L4" s="30">
        <f>B4-WEEKDAY(B4,3)</f>
        <v/>
      </c>
      <c r="M4" s="6" t="inlineStr"/>
    </row>
    <row r="5">
      <c r="A5" s="6" t="inlineStr">
        <is>
          <t>SH-006</t>
        </is>
      </c>
      <c r="B5" s="33" t="n">
        <v>46307</v>
      </c>
      <c r="C5" s="13">
        <f>TEXT(B5,"ddd")</f>
        <v/>
      </c>
      <c r="D5" s="6" t="inlineStr">
        <is>
          <t>EMP-002</t>
        </is>
      </c>
      <c r="E5" s="18">
        <f>IF(D5="OPEN","OPEN SHIFT",IFERROR(INDEX(Staff!$B$2:$B$100,MATCH(D5,Staff!$A$2:$A$100,0)),""))</f>
        <v/>
      </c>
      <c r="F5" s="6" t="inlineStr">
        <is>
          <t>Shift Lead</t>
        </is>
      </c>
      <c r="G5" s="34" t="n">
        <v>0.5416666666666666</v>
      </c>
      <c r="H5" s="34" t="n">
        <v>0.8333333333333334</v>
      </c>
      <c r="I5" s="35">
        <f>MOD(H5-G5,1)*24</f>
        <v/>
      </c>
      <c r="J5" s="29">
        <f>IFERROR(INDEX(Staff!$D$2:$D$100,MATCH(D5,Staff!$A$2:$A$100,0)),0)</f>
        <v/>
      </c>
      <c r="K5" s="14">
        <f>I5*J5</f>
        <v/>
      </c>
      <c r="L5" s="30">
        <f>B5-WEEKDAY(B5,3)</f>
        <v/>
      </c>
      <c r="M5" s="6" t="inlineStr"/>
    </row>
    <row r="6">
      <c r="A6" s="6" t="inlineStr">
        <is>
          <t>SH-002</t>
        </is>
      </c>
      <c r="B6" s="33" t="n">
        <v>46308</v>
      </c>
      <c r="C6" s="13">
        <f>TEXT(B6,"ddd")</f>
        <v/>
      </c>
      <c r="D6" s="6" t="inlineStr">
        <is>
          <t>EMP-001</t>
        </is>
      </c>
      <c r="E6" s="18">
        <f>IF(D6="OPEN","OPEN SHIFT",IFERROR(INDEX(Staff!$B$2:$B$100,MATCH(D6,Staff!$A$2:$A$100,0)),""))</f>
        <v/>
      </c>
      <c r="F6" s="6" t="inlineStr">
        <is>
          <t>Manager</t>
        </is>
      </c>
      <c r="G6" s="34" t="n">
        <v>0.2708333333333333</v>
      </c>
      <c r="H6" s="34" t="n">
        <v>0.6041666666666666</v>
      </c>
      <c r="I6" s="35">
        <f>MOD(H6-G6,1)*24</f>
        <v/>
      </c>
      <c r="J6" s="29">
        <f>IFERROR(INDEX(Staff!$D$2:$D$100,MATCH(D6,Staff!$A$2:$A$100,0)),0)</f>
        <v/>
      </c>
      <c r="K6" s="14">
        <f>I6*J6</f>
        <v/>
      </c>
      <c r="L6" s="30">
        <f>B6-WEEKDAY(B6,3)</f>
        <v/>
      </c>
      <c r="M6" s="6" t="inlineStr"/>
    </row>
    <row r="7">
      <c r="A7" s="6" t="inlineStr">
        <is>
          <t>SH-012</t>
        </is>
      </c>
      <c r="B7" s="33" t="n">
        <v>46308</v>
      </c>
      <c r="C7" s="13">
        <f>TEXT(B7,"ddd")</f>
        <v/>
      </c>
      <c r="D7" s="6" t="inlineStr">
        <is>
          <t>EMP-003</t>
        </is>
      </c>
      <c r="E7" s="18">
        <f>IF(D7="OPEN","OPEN SHIFT",IFERROR(INDEX(Staff!$B$2:$B$100,MATCH(D7,Staff!$A$2:$A$100,0)),""))</f>
        <v/>
      </c>
      <c r="F7" s="6" t="inlineStr">
        <is>
          <t>Juicer</t>
        </is>
      </c>
      <c r="G7" s="34" t="n">
        <v>0.2708333333333333</v>
      </c>
      <c r="H7" s="34" t="n">
        <v>0.6041666666666666</v>
      </c>
      <c r="I7" s="35">
        <f>MOD(H7-G7,1)*24</f>
        <v/>
      </c>
      <c r="J7" s="29">
        <f>IFERROR(INDEX(Staff!$D$2:$D$100,MATCH(D7,Staff!$A$2:$A$100,0)),0)</f>
        <v/>
      </c>
      <c r="K7" s="14">
        <f>I7*J7</f>
        <v/>
      </c>
      <c r="L7" s="30">
        <f>B7-WEEKDAY(B7,3)</f>
        <v/>
      </c>
      <c r="M7" s="6" t="inlineStr"/>
    </row>
    <row r="8">
      <c r="A8" s="6" t="inlineStr">
        <is>
          <t>SH-025</t>
        </is>
      </c>
      <c r="B8" s="33" t="n">
        <v>46308</v>
      </c>
      <c r="C8" s="13">
        <f>TEXT(B8,"ddd")</f>
        <v/>
      </c>
      <c r="D8" s="6" t="inlineStr">
        <is>
          <t>EMP-006</t>
        </is>
      </c>
      <c r="E8" s="18">
        <f>IF(D8="OPEN","OPEN SHIFT",IFERROR(INDEX(Staff!$B$2:$B$100,MATCH(D8,Staff!$A$2:$A$100,0)),""))</f>
        <v/>
      </c>
      <c r="F8" s="6" t="inlineStr">
        <is>
          <t>Cashier</t>
        </is>
      </c>
      <c r="G8" s="34" t="n">
        <v>0.4166666666666667</v>
      </c>
      <c r="H8" s="34" t="n">
        <v>0.6666666666666666</v>
      </c>
      <c r="I8" s="35">
        <f>MOD(H8-G8,1)*24</f>
        <v/>
      </c>
      <c r="J8" s="29">
        <f>IFERROR(INDEX(Staff!$D$2:$D$100,MATCH(D8,Staff!$A$2:$A$100,0)),0)</f>
        <v/>
      </c>
      <c r="K8" s="14">
        <f>I8*J8</f>
        <v/>
      </c>
      <c r="L8" s="30">
        <f>B8-WEEKDAY(B8,3)</f>
        <v/>
      </c>
      <c r="M8" s="6" t="inlineStr"/>
    </row>
    <row r="9">
      <c r="A9" s="6" t="inlineStr">
        <is>
          <t>SH-007</t>
        </is>
      </c>
      <c r="B9" s="33" t="n">
        <v>46308</v>
      </c>
      <c r="C9" s="13">
        <f>TEXT(B9,"ddd")</f>
        <v/>
      </c>
      <c r="D9" s="6" t="inlineStr">
        <is>
          <t>EMP-002</t>
        </is>
      </c>
      <c r="E9" s="18">
        <f>IF(D9="OPEN","OPEN SHIFT",IFERROR(INDEX(Staff!$B$2:$B$100,MATCH(D9,Staff!$A$2:$A$100,0)),""))</f>
        <v/>
      </c>
      <c r="F9" s="6" t="inlineStr">
        <is>
          <t>Shift Lead</t>
        </is>
      </c>
      <c r="G9" s="34" t="n">
        <v>0.5416666666666666</v>
      </c>
      <c r="H9" s="34" t="n">
        <v>0.8333333333333334</v>
      </c>
      <c r="I9" s="35">
        <f>MOD(H9-G9,1)*24</f>
        <v/>
      </c>
      <c r="J9" s="29">
        <f>IFERROR(INDEX(Staff!$D$2:$D$100,MATCH(D9,Staff!$A$2:$A$100,0)),0)</f>
        <v/>
      </c>
      <c r="K9" s="14">
        <f>I9*J9</f>
        <v/>
      </c>
      <c r="L9" s="30">
        <f>B9-WEEKDAY(B9,3)</f>
        <v/>
      </c>
      <c r="M9" s="6" t="inlineStr"/>
    </row>
    <row r="10">
      <c r="A10" s="6" t="inlineStr">
        <is>
          <t>SH-003</t>
        </is>
      </c>
      <c r="B10" s="33" t="n">
        <v>46309</v>
      </c>
      <c r="C10" s="13">
        <f>TEXT(B10,"ddd")</f>
        <v/>
      </c>
      <c r="D10" s="6" t="inlineStr">
        <is>
          <t>EMP-001</t>
        </is>
      </c>
      <c r="E10" s="18">
        <f>IF(D10="OPEN","OPEN SHIFT",IFERROR(INDEX(Staff!$B$2:$B$100,MATCH(D10,Staff!$A$2:$A$100,0)),""))</f>
        <v/>
      </c>
      <c r="F10" s="6" t="inlineStr">
        <is>
          <t>Manager</t>
        </is>
      </c>
      <c r="G10" s="34" t="n">
        <v>0.2708333333333333</v>
      </c>
      <c r="H10" s="34" t="n">
        <v>0.6041666666666666</v>
      </c>
      <c r="I10" s="35">
        <f>MOD(H10-G10,1)*24</f>
        <v/>
      </c>
      <c r="J10" s="29">
        <f>IFERROR(INDEX(Staff!$D$2:$D$100,MATCH(D10,Staff!$A$2:$A$100,0)),0)</f>
        <v/>
      </c>
      <c r="K10" s="14">
        <f>I10*J10</f>
        <v/>
      </c>
      <c r="L10" s="30">
        <f>B10-WEEKDAY(B10,3)</f>
        <v/>
      </c>
      <c r="M10" s="6" t="inlineStr"/>
    </row>
    <row r="11">
      <c r="A11" s="6" t="inlineStr">
        <is>
          <t>SH-008</t>
        </is>
      </c>
      <c r="B11" s="33" t="n">
        <v>46309</v>
      </c>
      <c r="C11" s="13">
        <f>TEXT(B11,"ddd")</f>
        <v/>
      </c>
      <c r="D11" s="6" t="inlineStr">
        <is>
          <t>EMP-002</t>
        </is>
      </c>
      <c r="E11" s="18">
        <f>IF(D11="OPEN","OPEN SHIFT",IFERROR(INDEX(Staff!$B$2:$B$100,MATCH(D11,Staff!$A$2:$A$100,0)),""))</f>
        <v/>
      </c>
      <c r="F11" s="6" t="inlineStr">
        <is>
          <t>Shift Lead</t>
        </is>
      </c>
      <c r="G11" s="34" t="n">
        <v>0.5416666666666666</v>
      </c>
      <c r="H11" s="34" t="n">
        <v>0.8333333333333334</v>
      </c>
      <c r="I11" s="35">
        <f>MOD(H11-G11,1)*24</f>
        <v/>
      </c>
      <c r="J11" s="29">
        <f>IFERROR(INDEX(Staff!$D$2:$D$100,MATCH(D11,Staff!$A$2:$A$100,0)),0)</f>
        <v/>
      </c>
      <c r="K11" s="14">
        <f>I11*J11</f>
        <v/>
      </c>
      <c r="L11" s="30">
        <f>B11-WEEKDAY(B11,3)</f>
        <v/>
      </c>
      <c r="M11" s="6" t="inlineStr"/>
    </row>
    <row r="12">
      <c r="A12" s="6" t="inlineStr">
        <is>
          <t>SH-016</t>
        </is>
      </c>
      <c r="B12" s="33" t="n">
        <v>46309</v>
      </c>
      <c r="C12" s="13">
        <f>TEXT(B12,"ddd")</f>
        <v/>
      </c>
      <c r="D12" s="6" t="inlineStr">
        <is>
          <t>EMP-004</t>
        </is>
      </c>
      <c r="E12" s="18">
        <f>IF(D12="OPEN","OPEN SHIFT",IFERROR(INDEX(Staff!$B$2:$B$100,MATCH(D12,Staff!$A$2:$A$100,0)),""))</f>
        <v/>
      </c>
      <c r="F12" s="6" t="inlineStr">
        <is>
          <t>Juicer</t>
        </is>
      </c>
      <c r="G12" s="34" t="n">
        <v>0.5416666666666666</v>
      </c>
      <c r="H12" s="34" t="n">
        <v>0.8333333333333334</v>
      </c>
      <c r="I12" s="35">
        <f>MOD(H12-G12,1)*24</f>
        <v/>
      </c>
      <c r="J12" s="29">
        <f>IFERROR(INDEX(Staff!$D$2:$D$100,MATCH(D12,Staff!$A$2:$A$100,0)),0)</f>
        <v/>
      </c>
      <c r="K12" s="14">
        <f>I12*J12</f>
        <v/>
      </c>
      <c r="L12" s="30">
        <f>B12-WEEKDAY(B12,3)</f>
        <v/>
      </c>
      <c r="M12" s="6" t="inlineStr"/>
    </row>
    <row r="13">
      <c r="A13" s="6" t="inlineStr">
        <is>
          <t>SH-004</t>
        </is>
      </c>
      <c r="B13" s="33" t="n">
        <v>46310</v>
      </c>
      <c r="C13" s="13">
        <f>TEXT(B13,"ddd")</f>
        <v/>
      </c>
      <c r="D13" s="6" t="inlineStr">
        <is>
          <t>EMP-001</t>
        </is>
      </c>
      <c r="E13" s="18">
        <f>IF(D13="OPEN","OPEN SHIFT",IFERROR(INDEX(Staff!$B$2:$B$100,MATCH(D13,Staff!$A$2:$A$100,0)),""))</f>
        <v/>
      </c>
      <c r="F13" s="6" t="inlineStr">
        <is>
          <t>Manager</t>
        </is>
      </c>
      <c r="G13" s="34" t="n">
        <v>0.2708333333333333</v>
      </c>
      <c r="H13" s="34" t="n">
        <v>0.6041666666666666</v>
      </c>
      <c r="I13" s="35">
        <f>MOD(H13-G13,1)*24</f>
        <v/>
      </c>
      <c r="J13" s="29">
        <f>IFERROR(INDEX(Staff!$D$2:$D$100,MATCH(D13,Staff!$A$2:$A$100,0)),0)</f>
        <v/>
      </c>
      <c r="K13" s="14">
        <f>I13*J13</f>
        <v/>
      </c>
      <c r="L13" s="30">
        <f>B13-WEEKDAY(B13,3)</f>
        <v/>
      </c>
      <c r="M13" s="6" t="inlineStr"/>
    </row>
    <row r="14">
      <c r="A14" s="6" t="inlineStr">
        <is>
          <t>SH-019</t>
        </is>
      </c>
      <c r="B14" s="33" t="n">
        <v>46310</v>
      </c>
      <c r="C14" s="13">
        <f>TEXT(B14,"ddd")</f>
        <v/>
      </c>
      <c r="D14" s="6" t="inlineStr">
        <is>
          <t>EMP-004</t>
        </is>
      </c>
      <c r="E14" s="18">
        <f>IF(D14="OPEN","OPEN SHIFT",IFERROR(INDEX(Staff!$B$2:$B$100,MATCH(D14,Staff!$A$2:$A$100,0)),""))</f>
        <v/>
      </c>
      <c r="F14" s="6" t="inlineStr">
        <is>
          <t>Juicer</t>
        </is>
      </c>
      <c r="G14" s="34" t="n">
        <v>0.2708333333333333</v>
      </c>
      <c r="H14" s="34" t="n">
        <v>0.6041666666666666</v>
      </c>
      <c r="I14" s="35">
        <f>MOD(H14-G14,1)*24</f>
        <v/>
      </c>
      <c r="J14" s="29">
        <f>IFERROR(INDEX(Staff!$D$2:$D$100,MATCH(D14,Staff!$A$2:$A$100,0)),0)</f>
        <v/>
      </c>
      <c r="K14" s="14">
        <f>I14*J14</f>
        <v/>
      </c>
      <c r="L14" s="30">
        <f>B14-WEEKDAY(B14,3)</f>
        <v/>
      </c>
      <c r="M14" s="6" t="inlineStr"/>
    </row>
    <row r="15">
      <c r="A15" s="6" t="inlineStr">
        <is>
          <t>SH-026</t>
        </is>
      </c>
      <c r="B15" s="33" t="n">
        <v>46310</v>
      </c>
      <c r="C15" s="13">
        <f>TEXT(B15,"ddd")</f>
        <v/>
      </c>
      <c r="D15" s="6" t="inlineStr">
        <is>
          <t>EMP-006</t>
        </is>
      </c>
      <c r="E15" s="18">
        <f>IF(D15="OPEN","OPEN SHIFT",IFERROR(INDEX(Staff!$B$2:$B$100,MATCH(D15,Staff!$A$2:$A$100,0)),""))</f>
        <v/>
      </c>
      <c r="F15" s="6" t="inlineStr">
        <is>
          <t>Cashier</t>
        </is>
      </c>
      <c r="G15" s="34" t="n">
        <v>0.4166666666666667</v>
      </c>
      <c r="H15" s="34" t="n">
        <v>0.6666666666666666</v>
      </c>
      <c r="I15" s="35">
        <f>MOD(H15-G15,1)*24</f>
        <v/>
      </c>
      <c r="J15" s="29">
        <f>IFERROR(INDEX(Staff!$D$2:$D$100,MATCH(D15,Staff!$A$2:$A$100,0)),0)</f>
        <v/>
      </c>
      <c r="K15" s="14">
        <f>I15*J15</f>
        <v/>
      </c>
      <c r="L15" s="30">
        <f>B15-WEEKDAY(B15,3)</f>
        <v/>
      </c>
      <c r="M15" s="6" t="inlineStr"/>
    </row>
    <row r="16">
      <c r="A16" s="6" t="inlineStr">
        <is>
          <t>SH-009</t>
        </is>
      </c>
      <c r="B16" s="33" t="n">
        <v>46310</v>
      </c>
      <c r="C16" s="13">
        <f>TEXT(B16,"ddd")</f>
        <v/>
      </c>
      <c r="D16" s="6" t="inlineStr">
        <is>
          <t>EMP-002</t>
        </is>
      </c>
      <c r="E16" s="18">
        <f>IF(D16="OPEN","OPEN SHIFT",IFERROR(INDEX(Staff!$B$2:$B$100,MATCH(D16,Staff!$A$2:$A$100,0)),""))</f>
        <v/>
      </c>
      <c r="F16" s="6" t="inlineStr">
        <is>
          <t>Shift Lead</t>
        </is>
      </c>
      <c r="G16" s="34" t="n">
        <v>0.5416666666666666</v>
      </c>
      <c r="H16" s="34" t="n">
        <v>0.8333333333333334</v>
      </c>
      <c r="I16" s="35">
        <f>MOD(H16-G16,1)*24</f>
        <v/>
      </c>
      <c r="J16" s="29">
        <f>IFERROR(INDEX(Staff!$D$2:$D$100,MATCH(D16,Staff!$A$2:$A$100,0)),0)</f>
        <v/>
      </c>
      <c r="K16" s="14">
        <f>I16*J16</f>
        <v/>
      </c>
      <c r="L16" s="30">
        <f>B16-WEEKDAY(B16,3)</f>
        <v/>
      </c>
      <c r="M16" s="6" t="inlineStr"/>
    </row>
    <row r="17">
      <c r="A17" s="6" t="inlineStr">
        <is>
          <t>SH-005</t>
        </is>
      </c>
      <c r="B17" s="33" t="n">
        <v>46311</v>
      </c>
      <c r="C17" s="13">
        <f>TEXT(B17,"ddd")</f>
        <v/>
      </c>
      <c r="D17" s="6" t="inlineStr">
        <is>
          <t>EMP-001</t>
        </is>
      </c>
      <c r="E17" s="18">
        <f>IF(D17="OPEN","OPEN SHIFT",IFERROR(INDEX(Staff!$B$2:$B$100,MATCH(D17,Staff!$A$2:$A$100,0)),""))</f>
        <v/>
      </c>
      <c r="F17" s="6" t="inlineStr">
        <is>
          <t>Manager</t>
        </is>
      </c>
      <c r="G17" s="34" t="n">
        <v>0.2708333333333333</v>
      </c>
      <c r="H17" s="34" t="n">
        <v>0.6041666666666666</v>
      </c>
      <c r="I17" s="35">
        <f>MOD(H17-G17,1)*24</f>
        <v/>
      </c>
      <c r="J17" s="29">
        <f>IFERROR(INDEX(Staff!$D$2:$D$100,MATCH(D17,Staff!$A$2:$A$100,0)),0)</f>
        <v/>
      </c>
      <c r="K17" s="14">
        <f>I17*J17</f>
        <v/>
      </c>
      <c r="L17" s="30">
        <f>B17-WEEKDAY(B17,3)</f>
        <v/>
      </c>
      <c r="M17" s="6" t="inlineStr"/>
    </row>
    <row r="18">
      <c r="A18" s="6" t="inlineStr">
        <is>
          <t>SH-013</t>
        </is>
      </c>
      <c r="B18" s="33" t="n">
        <v>46311</v>
      </c>
      <c r="C18" s="13">
        <f>TEXT(B18,"ddd")</f>
        <v/>
      </c>
      <c r="D18" s="6" t="inlineStr">
        <is>
          <t>EMP-003</t>
        </is>
      </c>
      <c r="E18" s="18">
        <f>IF(D18="OPEN","OPEN SHIFT",IFERROR(INDEX(Staff!$B$2:$B$100,MATCH(D18,Staff!$A$2:$A$100,0)),""))</f>
        <v/>
      </c>
      <c r="F18" s="6" t="inlineStr">
        <is>
          <t>Juicer</t>
        </is>
      </c>
      <c r="G18" s="34" t="n">
        <v>0.2708333333333333</v>
      </c>
      <c r="H18" s="34" t="n">
        <v>0.6041666666666666</v>
      </c>
      <c r="I18" s="35">
        <f>MOD(H18-G18,1)*24</f>
        <v/>
      </c>
      <c r="J18" s="29">
        <f>IFERROR(INDEX(Staff!$D$2:$D$100,MATCH(D18,Staff!$A$2:$A$100,0)),0)</f>
        <v/>
      </c>
      <c r="K18" s="14">
        <f>I18*J18</f>
        <v/>
      </c>
      <c r="L18" s="30">
        <f>B18-WEEKDAY(B18,3)</f>
        <v/>
      </c>
      <c r="M18" s="6" t="inlineStr"/>
    </row>
    <row r="19">
      <c r="A19" s="6" t="inlineStr">
        <is>
          <t>SH-020</t>
        </is>
      </c>
      <c r="B19" s="33" t="n">
        <v>46311</v>
      </c>
      <c r="C19" s="13">
        <f>TEXT(B19,"ddd")</f>
        <v/>
      </c>
      <c r="D19" s="6" t="inlineStr">
        <is>
          <t>EMP-004</t>
        </is>
      </c>
      <c r="E19" s="18">
        <f>IF(D19="OPEN","OPEN SHIFT",IFERROR(INDEX(Staff!$B$2:$B$100,MATCH(D19,Staff!$A$2:$A$100,0)),""))</f>
        <v/>
      </c>
      <c r="F19" s="6" t="inlineStr">
        <is>
          <t>Juicer</t>
        </is>
      </c>
      <c r="G19" s="34" t="n">
        <v>0.2708333333333333</v>
      </c>
      <c r="H19" s="34" t="n">
        <v>0.6041666666666666</v>
      </c>
      <c r="I19" s="35">
        <f>MOD(H19-G19,1)*24</f>
        <v/>
      </c>
      <c r="J19" s="29">
        <f>IFERROR(INDEX(Staff!$D$2:$D$100,MATCH(D19,Staff!$A$2:$A$100,0)),0)</f>
        <v/>
      </c>
      <c r="K19" s="14">
        <f>I19*J19</f>
        <v/>
      </c>
      <c r="L19" s="30">
        <f>B19-WEEKDAY(B19,3)</f>
        <v/>
      </c>
      <c r="M19" s="6" t="inlineStr"/>
    </row>
    <row r="20">
      <c r="A20" s="6" t="inlineStr">
        <is>
          <t>SH-021</t>
        </is>
      </c>
      <c r="B20" s="33" t="n">
        <v>46311</v>
      </c>
      <c r="C20" s="13">
        <f>TEXT(B20,"ddd")</f>
        <v/>
      </c>
      <c r="D20" s="6" t="inlineStr">
        <is>
          <t>EMP-005</t>
        </is>
      </c>
      <c r="E20" s="18">
        <f>IF(D20="OPEN","OPEN SHIFT",IFERROR(INDEX(Staff!$B$2:$B$100,MATCH(D20,Staff!$A$2:$A$100,0)),""))</f>
        <v/>
      </c>
      <c r="F20" s="6" t="inlineStr">
        <is>
          <t>Juicer</t>
        </is>
      </c>
      <c r="G20" s="34" t="n">
        <v>0.4166666666666667</v>
      </c>
      <c r="H20" s="34" t="n">
        <v>0.6666666666666666</v>
      </c>
      <c r="I20" s="35">
        <f>MOD(H20-G20,1)*24</f>
        <v/>
      </c>
      <c r="J20" s="29">
        <f>IFERROR(INDEX(Staff!$D$2:$D$100,MATCH(D20,Staff!$A$2:$A$100,0)),0)</f>
        <v/>
      </c>
      <c r="K20" s="14">
        <f>I20*J20</f>
        <v/>
      </c>
      <c r="L20" s="30">
        <f>B20-WEEKDAY(B20,3)</f>
        <v/>
      </c>
      <c r="M20" s="6" t="inlineStr"/>
    </row>
    <row r="21">
      <c r="A21" s="6" t="inlineStr">
        <is>
          <t>SH-010</t>
        </is>
      </c>
      <c r="B21" s="33" t="n">
        <v>46311</v>
      </c>
      <c r="C21" s="13">
        <f>TEXT(B21,"ddd")</f>
        <v/>
      </c>
      <c r="D21" s="6" t="inlineStr">
        <is>
          <t>EMP-002</t>
        </is>
      </c>
      <c r="E21" s="18">
        <f>IF(D21="OPEN","OPEN SHIFT",IFERROR(INDEX(Staff!$B$2:$B$100,MATCH(D21,Staff!$A$2:$A$100,0)),""))</f>
        <v/>
      </c>
      <c r="F21" s="6" t="inlineStr">
        <is>
          <t>Shift Lead</t>
        </is>
      </c>
      <c r="G21" s="34" t="n">
        <v>0.5416666666666666</v>
      </c>
      <c r="H21" s="34" t="n">
        <v>0.8333333333333334</v>
      </c>
      <c r="I21" s="35">
        <f>MOD(H21-G21,1)*24</f>
        <v/>
      </c>
      <c r="J21" s="29">
        <f>IFERROR(INDEX(Staff!$D$2:$D$100,MATCH(D21,Staff!$A$2:$A$100,0)),0)</f>
        <v/>
      </c>
      <c r="K21" s="14">
        <f>I21*J21</f>
        <v/>
      </c>
      <c r="L21" s="30">
        <f>B21-WEEKDAY(B21,3)</f>
        <v/>
      </c>
      <c r="M21" s="6" t="inlineStr"/>
    </row>
    <row r="22">
      <c r="A22" s="6" t="inlineStr">
        <is>
          <t>SH-014</t>
        </is>
      </c>
      <c r="B22" s="33" t="n">
        <v>46312</v>
      </c>
      <c r="C22" s="13">
        <f>TEXT(B22,"ddd")</f>
        <v/>
      </c>
      <c r="D22" s="6" t="inlineStr">
        <is>
          <t>EMP-003</t>
        </is>
      </c>
      <c r="E22" s="18">
        <f>IF(D22="OPEN","OPEN SHIFT",IFERROR(INDEX(Staff!$B$2:$B$100,MATCH(D22,Staff!$A$2:$A$100,0)),""))</f>
        <v/>
      </c>
      <c r="F22" s="6" t="inlineStr">
        <is>
          <t>Juicer</t>
        </is>
      </c>
      <c r="G22" s="34" t="n">
        <v>0.2708333333333333</v>
      </c>
      <c r="H22" s="34" t="n">
        <v>0.6041666666666666</v>
      </c>
      <c r="I22" s="35">
        <f>MOD(H22-G22,1)*24</f>
        <v/>
      </c>
      <c r="J22" s="29">
        <f>IFERROR(INDEX(Staff!$D$2:$D$100,MATCH(D22,Staff!$A$2:$A$100,0)),0)</f>
        <v/>
      </c>
      <c r="K22" s="14">
        <f>I22*J22</f>
        <v/>
      </c>
      <c r="L22" s="30">
        <f>B22-WEEKDAY(B22,3)</f>
        <v/>
      </c>
      <c r="M22" s="6" t="inlineStr"/>
    </row>
    <row r="23">
      <c r="A23" s="6" t="inlineStr">
        <is>
          <t>SH-023</t>
        </is>
      </c>
      <c r="B23" s="33" t="n">
        <v>46312</v>
      </c>
      <c r="C23" s="13">
        <f>TEXT(B23,"ddd")</f>
        <v/>
      </c>
      <c r="D23" s="6" t="inlineStr">
        <is>
          <t>EMP-005</t>
        </is>
      </c>
      <c r="E23" s="18">
        <f>IF(D23="OPEN","OPEN SHIFT",IFERROR(INDEX(Staff!$B$2:$B$100,MATCH(D23,Staff!$A$2:$A$100,0)),""))</f>
        <v/>
      </c>
      <c r="F23" s="6" t="inlineStr">
        <is>
          <t>Juicer</t>
        </is>
      </c>
      <c r="G23" s="34" t="n">
        <v>0.2708333333333333</v>
      </c>
      <c r="H23" s="34" t="n">
        <v>0.6041666666666666</v>
      </c>
      <c r="I23" s="35">
        <f>MOD(H23-G23,1)*24</f>
        <v/>
      </c>
      <c r="J23" s="29">
        <f>IFERROR(INDEX(Staff!$D$2:$D$100,MATCH(D23,Staff!$A$2:$A$100,0)),0)</f>
        <v/>
      </c>
      <c r="K23" s="14">
        <f>I23*J23</f>
        <v/>
      </c>
      <c r="L23" s="30">
        <f>B23-WEEKDAY(B23,3)</f>
        <v/>
      </c>
      <c r="M23" s="6" t="inlineStr"/>
    </row>
    <row r="24">
      <c r="A24" s="6" t="inlineStr">
        <is>
          <t>SH-017</t>
        </is>
      </c>
      <c r="B24" s="33" t="n">
        <v>46312</v>
      </c>
      <c r="C24" s="13">
        <f>TEXT(B24,"ddd")</f>
        <v/>
      </c>
      <c r="D24" s="6" t="inlineStr">
        <is>
          <t>EMP-004</t>
        </is>
      </c>
      <c r="E24" s="18">
        <f>IF(D24="OPEN","OPEN SHIFT",IFERROR(INDEX(Staff!$B$2:$B$100,MATCH(D24,Staff!$A$2:$A$100,0)),""))</f>
        <v/>
      </c>
      <c r="F24" s="6" t="inlineStr">
        <is>
          <t>Juicer</t>
        </is>
      </c>
      <c r="G24" s="34" t="n">
        <v>0.5416666666666666</v>
      </c>
      <c r="H24" s="34" t="n">
        <v>0.8333333333333334</v>
      </c>
      <c r="I24" s="35">
        <f>MOD(H24-G24,1)*24</f>
        <v/>
      </c>
      <c r="J24" s="29">
        <f>IFERROR(INDEX(Staff!$D$2:$D$100,MATCH(D24,Staff!$A$2:$A$100,0)),0)</f>
        <v/>
      </c>
      <c r="K24" s="14">
        <f>I24*J24</f>
        <v/>
      </c>
      <c r="L24" s="30">
        <f>B24-WEEKDAY(B24,3)</f>
        <v/>
      </c>
      <c r="M24" s="6" t="inlineStr"/>
    </row>
    <row r="25">
      <c r="A25" s="6" t="inlineStr">
        <is>
          <t>SH-027</t>
        </is>
      </c>
      <c r="B25" s="33" t="n">
        <v>46313</v>
      </c>
      <c r="C25" s="13">
        <f>TEXT(B25,"ddd")</f>
        <v/>
      </c>
      <c r="D25" s="6" t="inlineStr">
        <is>
          <t>EMP-006</t>
        </is>
      </c>
      <c r="E25" s="18">
        <f>IF(D25="OPEN","OPEN SHIFT",IFERROR(INDEX(Staff!$B$2:$B$100,MATCH(D25,Staff!$A$2:$A$100,0)),""))</f>
        <v/>
      </c>
      <c r="F25" s="6" t="inlineStr">
        <is>
          <t>Cashier</t>
        </is>
      </c>
      <c r="G25" s="34" t="n">
        <v>0.2708333333333333</v>
      </c>
      <c r="H25" s="34" t="n">
        <v>0.6041666666666666</v>
      </c>
      <c r="I25" s="35">
        <f>MOD(H25-G25,1)*24</f>
        <v/>
      </c>
      <c r="J25" s="29">
        <f>IFERROR(INDEX(Staff!$D$2:$D$100,MATCH(D25,Staff!$A$2:$A$100,0)),0)</f>
        <v/>
      </c>
      <c r="K25" s="14">
        <f>I25*J25</f>
        <v/>
      </c>
      <c r="L25" s="30">
        <f>B25-WEEKDAY(B25,3)</f>
        <v/>
      </c>
      <c r="M25" s="6" t="inlineStr"/>
    </row>
    <row r="26">
      <c r="A26" s="6" t="inlineStr">
        <is>
          <t>SH-022</t>
        </is>
      </c>
      <c r="B26" s="33" t="n">
        <v>46313</v>
      </c>
      <c r="C26" s="13">
        <f>TEXT(B26,"ddd")</f>
        <v/>
      </c>
      <c r="D26" s="6" t="inlineStr">
        <is>
          <t>EMP-005</t>
        </is>
      </c>
      <c r="E26" s="18">
        <f>IF(D26="OPEN","OPEN SHIFT",IFERROR(INDEX(Staff!$B$2:$B$100,MATCH(D26,Staff!$A$2:$A$100,0)),""))</f>
        <v/>
      </c>
      <c r="F26" s="6" t="inlineStr">
        <is>
          <t>Juicer</t>
        </is>
      </c>
      <c r="G26" s="34" t="n">
        <v>0.4166666666666667</v>
      </c>
      <c r="H26" s="34" t="n">
        <v>0.6666666666666666</v>
      </c>
      <c r="I26" s="35">
        <f>MOD(H26-G26,1)*24</f>
        <v/>
      </c>
      <c r="J26" s="29">
        <f>IFERROR(INDEX(Staff!$D$2:$D$100,MATCH(D26,Staff!$A$2:$A$100,0)),0)</f>
        <v/>
      </c>
      <c r="K26" s="14">
        <f>I26*J26</f>
        <v/>
      </c>
      <c r="L26" s="30">
        <f>B26-WEEKDAY(B26,3)</f>
        <v/>
      </c>
      <c r="M26" s="6" t="inlineStr"/>
    </row>
    <row r="27">
      <c r="A27" s="6" t="inlineStr">
        <is>
          <t>SH-015</t>
        </is>
      </c>
      <c r="B27" s="33" t="n">
        <v>46313</v>
      </c>
      <c r="C27" s="13">
        <f>TEXT(B27,"ddd")</f>
        <v/>
      </c>
      <c r="D27" s="6" t="inlineStr">
        <is>
          <t>EMP-003</t>
        </is>
      </c>
      <c r="E27" s="18">
        <f>IF(D27="OPEN","OPEN SHIFT",IFERROR(INDEX(Staff!$B$2:$B$100,MATCH(D27,Staff!$A$2:$A$100,0)),""))</f>
        <v/>
      </c>
      <c r="F27" s="6" t="inlineStr">
        <is>
          <t>Juicer</t>
        </is>
      </c>
      <c r="G27" s="34" t="n">
        <v>0.5416666666666666</v>
      </c>
      <c r="H27" s="34" t="n">
        <v>0.8333333333333334</v>
      </c>
      <c r="I27" s="35">
        <f>MOD(H27-G27,1)*24</f>
        <v/>
      </c>
      <c r="J27" s="29">
        <f>IFERROR(INDEX(Staff!$D$2:$D$100,MATCH(D27,Staff!$A$2:$A$100,0)),0)</f>
        <v/>
      </c>
      <c r="K27" s="14">
        <f>I27*J27</f>
        <v/>
      </c>
      <c r="L27" s="30">
        <f>B27-WEEKDAY(B27,3)</f>
        <v/>
      </c>
      <c r="M27" s="6" t="inlineStr"/>
    </row>
    <row r="28">
      <c r="A28" s="6" t="inlineStr">
        <is>
          <t>SH-018</t>
        </is>
      </c>
      <c r="B28" s="33" t="n">
        <v>46313</v>
      </c>
      <c r="C28" s="13">
        <f>TEXT(B28,"ddd")</f>
        <v/>
      </c>
      <c r="D28" s="6" t="inlineStr">
        <is>
          <t>EMP-004</t>
        </is>
      </c>
      <c r="E28" s="18">
        <f>IF(D28="OPEN","OPEN SHIFT",IFERROR(INDEX(Staff!$B$2:$B$100,MATCH(D28,Staff!$A$2:$A$100,0)),""))</f>
        <v/>
      </c>
      <c r="F28" s="6" t="inlineStr">
        <is>
          <t>Juicer</t>
        </is>
      </c>
      <c r="G28" s="34" t="n">
        <v>0.5416666666666666</v>
      </c>
      <c r="H28" s="34" t="n">
        <v>0.8333333333333334</v>
      </c>
      <c r="I28" s="35">
        <f>MOD(H28-G28,1)*24</f>
        <v/>
      </c>
      <c r="J28" s="29">
        <f>IFERROR(INDEX(Staff!$D$2:$D$100,MATCH(D28,Staff!$A$2:$A$100,0)),0)</f>
        <v/>
      </c>
      <c r="K28" s="14">
        <f>I28*J28</f>
        <v/>
      </c>
      <c r="L28" s="30">
        <f>B28-WEEKDAY(B28,3)</f>
        <v/>
      </c>
      <c r="M28" s="6" t="inlineStr"/>
    </row>
    <row r="29">
      <c r="A29" s="6" t="inlineStr">
        <is>
          <t>SH-028</t>
        </is>
      </c>
      <c r="B29" s="33" t="n">
        <v>46314</v>
      </c>
      <c r="C29" s="13">
        <f>TEXT(B29,"ddd")</f>
        <v/>
      </c>
      <c r="D29" s="6" t="inlineStr">
        <is>
          <t>EMP-001</t>
        </is>
      </c>
      <c r="E29" s="18">
        <f>IF(D29="OPEN","OPEN SHIFT",IFERROR(INDEX(Staff!$B$2:$B$100,MATCH(D29,Staff!$A$2:$A$100,0)),""))</f>
        <v/>
      </c>
      <c r="F29" s="6" t="inlineStr">
        <is>
          <t>Manager</t>
        </is>
      </c>
      <c r="G29" s="34" t="n">
        <v>0.2708333333333333</v>
      </c>
      <c r="H29" s="34" t="n">
        <v>0.6041666666666666</v>
      </c>
      <c r="I29" s="35">
        <f>MOD(H29-G29,1)*24</f>
        <v/>
      </c>
      <c r="J29" s="29">
        <f>IFERROR(INDEX(Staff!$D$2:$D$100,MATCH(D29,Staff!$A$2:$A$100,0)),0)</f>
        <v/>
      </c>
      <c r="K29" s="14">
        <f>I29*J29</f>
        <v/>
      </c>
      <c r="L29" s="30">
        <f>B29-WEEKDAY(B29,3)</f>
        <v/>
      </c>
      <c r="M29" s="6" t="inlineStr"/>
    </row>
    <row r="30">
      <c r="A30" s="6" t="inlineStr">
        <is>
          <t>SH-038</t>
        </is>
      </c>
      <c r="B30" s="33" t="n">
        <v>46314</v>
      </c>
      <c r="C30" s="13">
        <f>TEXT(B30,"ddd")</f>
        <v/>
      </c>
      <c r="D30" s="6" t="inlineStr">
        <is>
          <t>EMP-003</t>
        </is>
      </c>
      <c r="E30" s="18">
        <f>IF(D30="OPEN","OPEN SHIFT",IFERROR(INDEX(Staff!$B$2:$B$100,MATCH(D30,Staff!$A$2:$A$100,0)),""))</f>
        <v/>
      </c>
      <c r="F30" s="6" t="inlineStr">
        <is>
          <t>Juicer</t>
        </is>
      </c>
      <c r="G30" s="34" t="n">
        <v>0.2708333333333333</v>
      </c>
      <c r="H30" s="34" t="n">
        <v>0.6041666666666666</v>
      </c>
      <c r="I30" s="35">
        <f>MOD(H30-G30,1)*24</f>
        <v/>
      </c>
      <c r="J30" s="29">
        <f>IFERROR(INDEX(Staff!$D$2:$D$100,MATCH(D30,Staff!$A$2:$A$100,0)),0)</f>
        <v/>
      </c>
      <c r="K30" s="14">
        <f>I30*J30</f>
        <v/>
      </c>
      <c r="L30" s="30">
        <f>B30-WEEKDAY(B30,3)</f>
        <v/>
      </c>
      <c r="M30" s="6" t="inlineStr"/>
    </row>
    <row r="31">
      <c r="A31" s="6" t="inlineStr">
        <is>
          <t>SH-051</t>
        </is>
      </c>
      <c r="B31" s="33" t="n">
        <v>46314</v>
      </c>
      <c r="C31" s="13">
        <f>TEXT(B31,"ddd")</f>
        <v/>
      </c>
      <c r="D31" s="6" t="inlineStr">
        <is>
          <t>EMP-006</t>
        </is>
      </c>
      <c r="E31" s="18">
        <f>IF(D31="OPEN","OPEN SHIFT",IFERROR(INDEX(Staff!$B$2:$B$100,MATCH(D31,Staff!$A$2:$A$100,0)),""))</f>
        <v/>
      </c>
      <c r="F31" s="6" t="inlineStr">
        <is>
          <t>Cashier</t>
        </is>
      </c>
      <c r="G31" s="34" t="n">
        <v>0.4166666666666667</v>
      </c>
      <c r="H31" s="34" t="n">
        <v>0.6666666666666666</v>
      </c>
      <c r="I31" s="35">
        <f>MOD(H31-G31,1)*24</f>
        <v/>
      </c>
      <c r="J31" s="29">
        <f>IFERROR(INDEX(Staff!$D$2:$D$100,MATCH(D31,Staff!$A$2:$A$100,0)),0)</f>
        <v/>
      </c>
      <c r="K31" s="14">
        <f>I31*J31</f>
        <v/>
      </c>
      <c r="L31" s="30">
        <f>B31-WEEKDAY(B31,3)</f>
        <v/>
      </c>
      <c r="M31" s="6" t="inlineStr"/>
    </row>
    <row r="32">
      <c r="A32" s="6" t="inlineStr">
        <is>
          <t>SH-033</t>
        </is>
      </c>
      <c r="B32" s="33" t="n">
        <v>46314</v>
      </c>
      <c r="C32" s="13">
        <f>TEXT(B32,"ddd")</f>
        <v/>
      </c>
      <c r="D32" s="6" t="inlineStr">
        <is>
          <t>EMP-002</t>
        </is>
      </c>
      <c r="E32" s="18">
        <f>IF(D32="OPEN","OPEN SHIFT",IFERROR(INDEX(Staff!$B$2:$B$100,MATCH(D32,Staff!$A$2:$A$100,0)),""))</f>
        <v/>
      </c>
      <c r="F32" s="6" t="inlineStr">
        <is>
          <t>Shift Lead</t>
        </is>
      </c>
      <c r="G32" s="34" t="n">
        <v>0.5416666666666666</v>
      </c>
      <c r="H32" s="34" t="n">
        <v>0.8333333333333334</v>
      </c>
      <c r="I32" s="35">
        <f>MOD(H32-G32,1)*24</f>
        <v/>
      </c>
      <c r="J32" s="29">
        <f>IFERROR(INDEX(Staff!$D$2:$D$100,MATCH(D32,Staff!$A$2:$A$100,0)),0)</f>
        <v/>
      </c>
      <c r="K32" s="14">
        <f>I32*J32</f>
        <v/>
      </c>
      <c r="L32" s="30">
        <f>B32-WEEKDAY(B32,3)</f>
        <v/>
      </c>
      <c r="M32" s="6" t="inlineStr"/>
    </row>
    <row r="33">
      <c r="A33" s="6" t="inlineStr">
        <is>
          <t>SH-029</t>
        </is>
      </c>
      <c r="B33" s="33" t="n">
        <v>46315</v>
      </c>
      <c r="C33" s="13">
        <f>TEXT(B33,"ddd")</f>
        <v/>
      </c>
      <c r="D33" s="6" t="inlineStr">
        <is>
          <t>EMP-001</t>
        </is>
      </c>
      <c r="E33" s="18">
        <f>IF(D33="OPEN","OPEN SHIFT",IFERROR(INDEX(Staff!$B$2:$B$100,MATCH(D33,Staff!$A$2:$A$100,0)),""))</f>
        <v/>
      </c>
      <c r="F33" s="6" t="inlineStr">
        <is>
          <t>Manager</t>
        </is>
      </c>
      <c r="G33" s="34" t="n">
        <v>0.2708333333333333</v>
      </c>
      <c r="H33" s="34" t="n">
        <v>0.6041666666666666</v>
      </c>
      <c r="I33" s="35">
        <f>MOD(H33-G33,1)*24</f>
        <v/>
      </c>
      <c r="J33" s="29">
        <f>IFERROR(INDEX(Staff!$D$2:$D$100,MATCH(D33,Staff!$A$2:$A$100,0)),0)</f>
        <v/>
      </c>
      <c r="K33" s="14">
        <f>I33*J33</f>
        <v/>
      </c>
      <c r="L33" s="30">
        <f>B33-WEEKDAY(B33,3)</f>
        <v/>
      </c>
      <c r="M33" s="6" t="inlineStr"/>
    </row>
    <row r="34">
      <c r="A34" s="6" t="inlineStr">
        <is>
          <t>SH-039</t>
        </is>
      </c>
      <c r="B34" s="33" t="n">
        <v>46315</v>
      </c>
      <c r="C34" s="13">
        <f>TEXT(B34,"ddd")</f>
        <v/>
      </c>
      <c r="D34" s="6" t="inlineStr">
        <is>
          <t>EMP-003</t>
        </is>
      </c>
      <c r="E34" s="18">
        <f>IF(D34="OPEN","OPEN SHIFT",IFERROR(INDEX(Staff!$B$2:$B$100,MATCH(D34,Staff!$A$2:$A$100,0)),""))</f>
        <v/>
      </c>
      <c r="F34" s="6" t="inlineStr">
        <is>
          <t>Juicer</t>
        </is>
      </c>
      <c r="G34" s="34" t="n">
        <v>0.2708333333333333</v>
      </c>
      <c r="H34" s="34" t="n">
        <v>0.6041666666666666</v>
      </c>
      <c r="I34" s="35">
        <f>MOD(H34-G34,1)*24</f>
        <v/>
      </c>
      <c r="J34" s="29">
        <f>IFERROR(INDEX(Staff!$D$2:$D$100,MATCH(D34,Staff!$A$2:$A$100,0)),0)</f>
        <v/>
      </c>
      <c r="K34" s="14">
        <f>I34*J34</f>
        <v/>
      </c>
      <c r="L34" s="30">
        <f>B34-WEEKDAY(B34,3)</f>
        <v/>
      </c>
      <c r="M34" s="6" t="inlineStr"/>
    </row>
    <row r="35">
      <c r="A35" s="6" t="inlineStr">
        <is>
          <t>SH-052</t>
        </is>
      </c>
      <c r="B35" s="33" t="n">
        <v>46315</v>
      </c>
      <c r="C35" s="13">
        <f>TEXT(B35,"ddd")</f>
        <v/>
      </c>
      <c r="D35" s="6" t="inlineStr">
        <is>
          <t>EMP-006</t>
        </is>
      </c>
      <c r="E35" s="18">
        <f>IF(D35="OPEN","OPEN SHIFT",IFERROR(INDEX(Staff!$B$2:$B$100,MATCH(D35,Staff!$A$2:$A$100,0)),""))</f>
        <v/>
      </c>
      <c r="F35" s="6" t="inlineStr">
        <is>
          <t>Cashier</t>
        </is>
      </c>
      <c r="G35" s="34" t="n">
        <v>0.4166666666666667</v>
      </c>
      <c r="H35" s="34" t="n">
        <v>0.6666666666666666</v>
      </c>
      <c r="I35" s="35">
        <f>MOD(H35-G35,1)*24</f>
        <v/>
      </c>
      <c r="J35" s="29">
        <f>IFERROR(INDEX(Staff!$D$2:$D$100,MATCH(D35,Staff!$A$2:$A$100,0)),0)</f>
        <v/>
      </c>
      <c r="K35" s="14">
        <f>I35*J35</f>
        <v/>
      </c>
      <c r="L35" s="30">
        <f>B35-WEEKDAY(B35,3)</f>
        <v/>
      </c>
      <c r="M35" s="6" t="inlineStr"/>
    </row>
    <row r="36">
      <c r="A36" s="6" t="inlineStr">
        <is>
          <t>SH-034</t>
        </is>
      </c>
      <c r="B36" s="33" t="n">
        <v>46315</v>
      </c>
      <c r="C36" s="13">
        <f>TEXT(B36,"ddd")</f>
        <v/>
      </c>
      <c r="D36" s="6" t="inlineStr">
        <is>
          <t>EMP-002</t>
        </is>
      </c>
      <c r="E36" s="18">
        <f>IF(D36="OPEN","OPEN SHIFT",IFERROR(INDEX(Staff!$B$2:$B$100,MATCH(D36,Staff!$A$2:$A$100,0)),""))</f>
        <v/>
      </c>
      <c r="F36" s="6" t="inlineStr">
        <is>
          <t>Shift Lead</t>
        </is>
      </c>
      <c r="G36" s="34" t="n">
        <v>0.5416666666666666</v>
      </c>
      <c r="H36" s="34" t="n">
        <v>0.8333333333333334</v>
      </c>
      <c r="I36" s="35">
        <f>MOD(H36-G36,1)*24</f>
        <v/>
      </c>
      <c r="J36" s="29">
        <f>IFERROR(INDEX(Staff!$D$2:$D$100,MATCH(D36,Staff!$A$2:$A$100,0)),0)</f>
        <v/>
      </c>
      <c r="K36" s="14">
        <f>I36*J36</f>
        <v/>
      </c>
      <c r="L36" s="30">
        <f>B36-WEEKDAY(B36,3)</f>
        <v/>
      </c>
      <c r="M36" s="6" t="inlineStr"/>
    </row>
    <row r="37">
      <c r="A37" s="6" t="inlineStr">
        <is>
          <t>SH-030</t>
        </is>
      </c>
      <c r="B37" s="33" t="n">
        <v>46316</v>
      </c>
      <c r="C37" s="13">
        <f>TEXT(B37,"ddd")</f>
        <v/>
      </c>
      <c r="D37" s="6" t="inlineStr">
        <is>
          <t>EMP-001</t>
        </is>
      </c>
      <c r="E37" s="18">
        <f>IF(D37="OPEN","OPEN SHIFT",IFERROR(INDEX(Staff!$B$2:$B$100,MATCH(D37,Staff!$A$2:$A$100,0)),""))</f>
        <v/>
      </c>
      <c r="F37" s="6" t="inlineStr">
        <is>
          <t>Manager</t>
        </is>
      </c>
      <c r="G37" s="34" t="n">
        <v>0.2708333333333333</v>
      </c>
      <c r="H37" s="34" t="n">
        <v>0.6041666666666666</v>
      </c>
      <c r="I37" s="35">
        <f>MOD(H37-G37,1)*24</f>
        <v/>
      </c>
      <c r="J37" s="29">
        <f>IFERROR(INDEX(Staff!$D$2:$D$100,MATCH(D37,Staff!$A$2:$A$100,0)),0)</f>
        <v/>
      </c>
      <c r="K37" s="14">
        <f>I37*J37</f>
        <v/>
      </c>
      <c r="L37" s="30">
        <f>B37-WEEKDAY(B37,3)</f>
        <v/>
      </c>
      <c r="M37" s="6" t="inlineStr"/>
    </row>
    <row r="38">
      <c r="A38" s="6" t="inlineStr">
        <is>
          <t>SH-035</t>
        </is>
      </c>
      <c r="B38" s="33" t="n">
        <v>46316</v>
      </c>
      <c r="C38" s="13">
        <f>TEXT(B38,"ddd")</f>
        <v/>
      </c>
      <c r="D38" s="6" t="inlineStr">
        <is>
          <t>EMP-002</t>
        </is>
      </c>
      <c r="E38" s="18">
        <f>IF(D38="OPEN","OPEN SHIFT",IFERROR(INDEX(Staff!$B$2:$B$100,MATCH(D38,Staff!$A$2:$A$100,0)),""))</f>
        <v/>
      </c>
      <c r="F38" s="6" t="inlineStr">
        <is>
          <t>Shift Lead</t>
        </is>
      </c>
      <c r="G38" s="34" t="n">
        <v>0.5416666666666666</v>
      </c>
      <c r="H38" s="34" t="n">
        <v>0.8333333333333334</v>
      </c>
      <c r="I38" s="35">
        <f>MOD(H38-G38,1)*24</f>
        <v/>
      </c>
      <c r="J38" s="29">
        <f>IFERROR(INDEX(Staff!$D$2:$D$100,MATCH(D38,Staff!$A$2:$A$100,0)),0)</f>
        <v/>
      </c>
      <c r="K38" s="14">
        <f>I38*J38</f>
        <v/>
      </c>
      <c r="L38" s="30">
        <f>B38-WEEKDAY(B38,3)</f>
        <v/>
      </c>
      <c r="M38" s="6" t="inlineStr"/>
    </row>
    <row r="39">
      <c r="A39" s="6" t="inlineStr">
        <is>
          <t>SH-043</t>
        </is>
      </c>
      <c r="B39" s="33" t="n">
        <v>46316</v>
      </c>
      <c r="C39" s="13">
        <f>TEXT(B39,"ddd")</f>
        <v/>
      </c>
      <c r="D39" s="6" t="inlineStr">
        <is>
          <t>EMP-004</t>
        </is>
      </c>
      <c r="E39" s="18">
        <f>IF(D39="OPEN","OPEN SHIFT",IFERROR(INDEX(Staff!$B$2:$B$100,MATCH(D39,Staff!$A$2:$A$100,0)),""))</f>
        <v/>
      </c>
      <c r="F39" s="6" t="inlineStr">
        <is>
          <t>Juicer</t>
        </is>
      </c>
      <c r="G39" s="34" t="n">
        <v>0.5416666666666666</v>
      </c>
      <c r="H39" s="34" t="n">
        <v>0.8333333333333334</v>
      </c>
      <c r="I39" s="35">
        <f>MOD(H39-G39,1)*24</f>
        <v/>
      </c>
      <c r="J39" s="29">
        <f>IFERROR(INDEX(Staff!$D$2:$D$100,MATCH(D39,Staff!$A$2:$A$100,0)),0)</f>
        <v/>
      </c>
      <c r="K39" s="14">
        <f>I39*J39</f>
        <v/>
      </c>
      <c r="L39" s="30">
        <f>B39-WEEKDAY(B39,3)</f>
        <v/>
      </c>
      <c r="M39" s="6" t="inlineStr"/>
    </row>
    <row r="40">
      <c r="A40" s="6" t="inlineStr">
        <is>
          <t>SH-031</t>
        </is>
      </c>
      <c r="B40" s="33" t="n">
        <v>46317</v>
      </c>
      <c r="C40" s="13">
        <f>TEXT(B40,"ddd")</f>
        <v/>
      </c>
      <c r="D40" s="6" t="inlineStr">
        <is>
          <t>EMP-001</t>
        </is>
      </c>
      <c r="E40" s="18">
        <f>IF(D40="OPEN","OPEN SHIFT",IFERROR(INDEX(Staff!$B$2:$B$100,MATCH(D40,Staff!$A$2:$A$100,0)),""))</f>
        <v/>
      </c>
      <c r="F40" s="6" t="inlineStr">
        <is>
          <t>Manager</t>
        </is>
      </c>
      <c r="G40" s="34" t="n">
        <v>0.2708333333333333</v>
      </c>
      <c r="H40" s="34" t="n">
        <v>0.6041666666666666</v>
      </c>
      <c r="I40" s="35">
        <f>MOD(H40-G40,1)*24</f>
        <v/>
      </c>
      <c r="J40" s="29">
        <f>IFERROR(INDEX(Staff!$D$2:$D$100,MATCH(D40,Staff!$A$2:$A$100,0)),0)</f>
        <v/>
      </c>
      <c r="K40" s="14">
        <f>I40*J40</f>
        <v/>
      </c>
      <c r="L40" s="30">
        <f>B40-WEEKDAY(B40,3)</f>
        <v/>
      </c>
      <c r="M40" s="6" t="inlineStr"/>
    </row>
    <row r="41">
      <c r="A41" s="6" t="inlineStr">
        <is>
          <t>SH-046</t>
        </is>
      </c>
      <c r="B41" s="33" t="n">
        <v>46317</v>
      </c>
      <c r="C41" s="13">
        <f>TEXT(B41,"ddd")</f>
        <v/>
      </c>
      <c r="D41" s="6" t="inlineStr">
        <is>
          <t>EMP-004</t>
        </is>
      </c>
      <c r="E41" s="18">
        <f>IF(D41="OPEN","OPEN SHIFT",IFERROR(INDEX(Staff!$B$2:$B$100,MATCH(D41,Staff!$A$2:$A$100,0)),""))</f>
        <v/>
      </c>
      <c r="F41" s="6" t="inlineStr">
        <is>
          <t>Juicer</t>
        </is>
      </c>
      <c r="G41" s="34" t="n">
        <v>0.2708333333333333</v>
      </c>
      <c r="H41" s="34" t="n">
        <v>0.6041666666666666</v>
      </c>
      <c r="I41" s="35">
        <f>MOD(H41-G41,1)*24</f>
        <v/>
      </c>
      <c r="J41" s="29">
        <f>IFERROR(INDEX(Staff!$D$2:$D$100,MATCH(D41,Staff!$A$2:$A$100,0)),0)</f>
        <v/>
      </c>
      <c r="K41" s="14">
        <f>I41*J41</f>
        <v/>
      </c>
      <c r="L41" s="30">
        <f>B41-WEEKDAY(B41,3)</f>
        <v/>
      </c>
      <c r="M41" s="6" t="inlineStr"/>
    </row>
    <row r="42">
      <c r="A42" s="6" t="inlineStr">
        <is>
          <t>SH-053</t>
        </is>
      </c>
      <c r="B42" s="33" t="n">
        <v>46317</v>
      </c>
      <c r="C42" s="13">
        <f>TEXT(B42,"ddd")</f>
        <v/>
      </c>
      <c r="D42" s="6" t="inlineStr">
        <is>
          <t>EMP-006</t>
        </is>
      </c>
      <c r="E42" s="18">
        <f>IF(D42="OPEN","OPEN SHIFT",IFERROR(INDEX(Staff!$B$2:$B$100,MATCH(D42,Staff!$A$2:$A$100,0)),""))</f>
        <v/>
      </c>
      <c r="F42" s="6" t="inlineStr">
        <is>
          <t>Cashier</t>
        </is>
      </c>
      <c r="G42" s="34" t="n">
        <v>0.4166666666666667</v>
      </c>
      <c r="H42" s="34" t="n">
        <v>0.6666666666666666</v>
      </c>
      <c r="I42" s="35">
        <f>MOD(H42-G42,1)*24</f>
        <v/>
      </c>
      <c r="J42" s="29">
        <f>IFERROR(INDEX(Staff!$D$2:$D$100,MATCH(D42,Staff!$A$2:$A$100,0)),0)</f>
        <v/>
      </c>
      <c r="K42" s="14">
        <f>I42*J42</f>
        <v/>
      </c>
      <c r="L42" s="30">
        <f>B42-WEEKDAY(B42,3)</f>
        <v/>
      </c>
      <c r="M42" s="6" t="inlineStr"/>
    </row>
    <row r="43">
      <c r="A43" s="6" t="inlineStr">
        <is>
          <t>SH-036</t>
        </is>
      </c>
      <c r="B43" s="33" t="n">
        <v>46317</v>
      </c>
      <c r="C43" s="13">
        <f>TEXT(B43,"ddd")</f>
        <v/>
      </c>
      <c r="D43" s="6" t="inlineStr">
        <is>
          <t>EMP-002</t>
        </is>
      </c>
      <c r="E43" s="18">
        <f>IF(D43="OPEN","OPEN SHIFT",IFERROR(INDEX(Staff!$B$2:$B$100,MATCH(D43,Staff!$A$2:$A$100,0)),""))</f>
        <v/>
      </c>
      <c r="F43" s="6" t="inlineStr">
        <is>
          <t>Shift Lead</t>
        </is>
      </c>
      <c r="G43" s="34" t="n">
        <v>0.5416666666666666</v>
      </c>
      <c r="H43" s="34" t="n">
        <v>0.8333333333333334</v>
      </c>
      <c r="I43" s="35">
        <f>MOD(H43-G43,1)*24</f>
        <v/>
      </c>
      <c r="J43" s="29">
        <f>IFERROR(INDEX(Staff!$D$2:$D$100,MATCH(D43,Staff!$A$2:$A$100,0)),0)</f>
        <v/>
      </c>
      <c r="K43" s="14">
        <f>I43*J43</f>
        <v/>
      </c>
      <c r="L43" s="30">
        <f>B43-WEEKDAY(B43,3)</f>
        <v/>
      </c>
      <c r="M43" s="6" t="inlineStr"/>
    </row>
    <row r="44">
      <c r="A44" s="6" t="inlineStr">
        <is>
          <t>SH-032</t>
        </is>
      </c>
      <c r="B44" s="33" t="n">
        <v>46318</v>
      </c>
      <c r="C44" s="13">
        <f>TEXT(B44,"ddd")</f>
        <v/>
      </c>
      <c r="D44" s="6" t="inlineStr">
        <is>
          <t>EMP-001</t>
        </is>
      </c>
      <c r="E44" s="18">
        <f>IF(D44="OPEN","OPEN SHIFT",IFERROR(INDEX(Staff!$B$2:$B$100,MATCH(D44,Staff!$A$2:$A$100,0)),""))</f>
        <v/>
      </c>
      <c r="F44" s="6" t="inlineStr">
        <is>
          <t>Manager</t>
        </is>
      </c>
      <c r="G44" s="34" t="n">
        <v>0.2708333333333333</v>
      </c>
      <c r="H44" s="34" t="n">
        <v>0.6041666666666666</v>
      </c>
      <c r="I44" s="35">
        <f>MOD(H44-G44,1)*24</f>
        <v/>
      </c>
      <c r="J44" s="29">
        <f>IFERROR(INDEX(Staff!$D$2:$D$100,MATCH(D44,Staff!$A$2:$A$100,0)),0)</f>
        <v/>
      </c>
      <c r="K44" s="14">
        <f>I44*J44</f>
        <v/>
      </c>
      <c r="L44" s="30">
        <f>B44-WEEKDAY(B44,3)</f>
        <v/>
      </c>
      <c r="M44" s="6" t="inlineStr"/>
    </row>
    <row r="45">
      <c r="A45" s="6" t="inlineStr">
        <is>
          <t>SH-040</t>
        </is>
      </c>
      <c r="B45" s="33" t="n">
        <v>46318</v>
      </c>
      <c r="C45" s="13">
        <f>TEXT(B45,"ddd")</f>
        <v/>
      </c>
      <c r="D45" s="6" t="inlineStr">
        <is>
          <t>EMP-003</t>
        </is>
      </c>
      <c r="E45" s="18">
        <f>IF(D45="OPEN","OPEN SHIFT",IFERROR(INDEX(Staff!$B$2:$B$100,MATCH(D45,Staff!$A$2:$A$100,0)),""))</f>
        <v/>
      </c>
      <c r="F45" s="6" t="inlineStr">
        <is>
          <t>Juicer</t>
        </is>
      </c>
      <c r="G45" s="34" t="n">
        <v>0.2708333333333333</v>
      </c>
      <c r="H45" s="34" t="n">
        <v>0.6041666666666666</v>
      </c>
      <c r="I45" s="35">
        <f>MOD(H45-G45,1)*24</f>
        <v/>
      </c>
      <c r="J45" s="29">
        <f>IFERROR(INDEX(Staff!$D$2:$D$100,MATCH(D45,Staff!$A$2:$A$100,0)),0)</f>
        <v/>
      </c>
      <c r="K45" s="14">
        <f>I45*J45</f>
        <v/>
      </c>
      <c r="L45" s="30">
        <f>B45-WEEKDAY(B45,3)</f>
        <v/>
      </c>
      <c r="M45" s="6" t="inlineStr"/>
    </row>
    <row r="46">
      <c r="A46" s="6" t="inlineStr">
        <is>
          <t>SH-047</t>
        </is>
      </c>
      <c r="B46" s="33" t="n">
        <v>46318</v>
      </c>
      <c r="C46" s="13">
        <f>TEXT(B46,"ddd")</f>
        <v/>
      </c>
      <c r="D46" s="6" t="inlineStr">
        <is>
          <t>EMP-004</t>
        </is>
      </c>
      <c r="E46" s="18">
        <f>IF(D46="OPEN","OPEN SHIFT",IFERROR(INDEX(Staff!$B$2:$B$100,MATCH(D46,Staff!$A$2:$A$100,0)),""))</f>
        <v/>
      </c>
      <c r="F46" s="6" t="inlineStr">
        <is>
          <t>Juicer</t>
        </is>
      </c>
      <c r="G46" s="34" t="n">
        <v>0.2708333333333333</v>
      </c>
      <c r="H46" s="34" t="n">
        <v>0.6041666666666666</v>
      </c>
      <c r="I46" s="35">
        <f>MOD(H46-G46,1)*24</f>
        <v/>
      </c>
      <c r="J46" s="29">
        <f>IFERROR(INDEX(Staff!$D$2:$D$100,MATCH(D46,Staff!$A$2:$A$100,0)),0)</f>
        <v/>
      </c>
      <c r="K46" s="14">
        <f>I46*J46</f>
        <v/>
      </c>
      <c r="L46" s="30">
        <f>B46-WEEKDAY(B46,3)</f>
        <v/>
      </c>
      <c r="M46" s="6" t="inlineStr"/>
    </row>
    <row r="47">
      <c r="A47" s="6" t="inlineStr">
        <is>
          <t>SH-048</t>
        </is>
      </c>
      <c r="B47" s="33" t="n">
        <v>46318</v>
      </c>
      <c r="C47" s="13">
        <f>TEXT(B47,"ddd")</f>
        <v/>
      </c>
      <c r="D47" s="6" t="inlineStr">
        <is>
          <t>EMP-005</t>
        </is>
      </c>
      <c r="E47" s="18">
        <f>IF(D47="OPEN","OPEN SHIFT",IFERROR(INDEX(Staff!$B$2:$B$100,MATCH(D47,Staff!$A$2:$A$100,0)),""))</f>
        <v/>
      </c>
      <c r="F47" s="6" t="inlineStr">
        <is>
          <t>Juicer</t>
        </is>
      </c>
      <c r="G47" s="34" t="n">
        <v>0.4166666666666667</v>
      </c>
      <c r="H47" s="34" t="n">
        <v>0.6666666666666666</v>
      </c>
      <c r="I47" s="35">
        <f>MOD(H47-G47,1)*24</f>
        <v/>
      </c>
      <c r="J47" s="29">
        <f>IFERROR(INDEX(Staff!$D$2:$D$100,MATCH(D47,Staff!$A$2:$A$100,0)),0)</f>
        <v/>
      </c>
      <c r="K47" s="14">
        <f>I47*J47</f>
        <v/>
      </c>
      <c r="L47" s="30">
        <f>B47-WEEKDAY(B47,3)</f>
        <v/>
      </c>
      <c r="M47" s="6" t="inlineStr"/>
    </row>
    <row r="48">
      <c r="A48" s="6" t="inlineStr">
        <is>
          <t>SH-037</t>
        </is>
      </c>
      <c r="B48" s="33" t="n">
        <v>46318</v>
      </c>
      <c r="C48" s="13">
        <f>TEXT(B48,"ddd")</f>
        <v/>
      </c>
      <c r="D48" s="6" t="inlineStr">
        <is>
          <t>EMP-002</t>
        </is>
      </c>
      <c r="E48" s="18">
        <f>IF(D48="OPEN","OPEN SHIFT",IFERROR(INDEX(Staff!$B$2:$B$100,MATCH(D48,Staff!$A$2:$A$100,0)),""))</f>
        <v/>
      </c>
      <c r="F48" s="6" t="inlineStr">
        <is>
          <t>Shift Lead</t>
        </is>
      </c>
      <c r="G48" s="34" t="n">
        <v>0.5416666666666666</v>
      </c>
      <c r="H48" s="34" t="n">
        <v>0.8333333333333334</v>
      </c>
      <c r="I48" s="35">
        <f>MOD(H48-G48,1)*24</f>
        <v/>
      </c>
      <c r="J48" s="29">
        <f>IFERROR(INDEX(Staff!$D$2:$D$100,MATCH(D48,Staff!$A$2:$A$100,0)),0)</f>
        <v/>
      </c>
      <c r="K48" s="14">
        <f>I48*J48</f>
        <v/>
      </c>
      <c r="L48" s="30">
        <f>B48-WEEKDAY(B48,3)</f>
        <v/>
      </c>
      <c r="M48" s="6" t="inlineStr"/>
    </row>
    <row r="49">
      <c r="A49" s="6" t="inlineStr">
        <is>
          <t>SH-041</t>
        </is>
      </c>
      <c r="B49" s="33" t="n">
        <v>46319</v>
      </c>
      <c r="C49" s="13">
        <f>TEXT(B49,"ddd")</f>
        <v/>
      </c>
      <c r="D49" s="6" t="inlineStr">
        <is>
          <t>EMP-003</t>
        </is>
      </c>
      <c r="E49" s="18">
        <f>IF(D49="OPEN","OPEN SHIFT",IFERROR(INDEX(Staff!$B$2:$B$100,MATCH(D49,Staff!$A$2:$A$100,0)),""))</f>
        <v/>
      </c>
      <c r="F49" s="6" t="inlineStr">
        <is>
          <t>Juicer</t>
        </is>
      </c>
      <c r="G49" s="34" t="n">
        <v>0.2708333333333333</v>
      </c>
      <c r="H49" s="34" t="n">
        <v>0.6041666666666666</v>
      </c>
      <c r="I49" s="35">
        <f>MOD(H49-G49,1)*24</f>
        <v/>
      </c>
      <c r="J49" s="29">
        <f>IFERROR(INDEX(Staff!$D$2:$D$100,MATCH(D49,Staff!$A$2:$A$100,0)),0)</f>
        <v/>
      </c>
      <c r="K49" s="14">
        <f>I49*J49</f>
        <v/>
      </c>
      <c r="L49" s="30">
        <f>B49-WEEKDAY(B49,3)</f>
        <v/>
      </c>
      <c r="M49" s="6" t="inlineStr"/>
    </row>
    <row r="50">
      <c r="A50" s="6" t="inlineStr">
        <is>
          <t>SH-050</t>
        </is>
      </c>
      <c r="B50" s="33" t="n">
        <v>46319</v>
      </c>
      <c r="C50" s="13">
        <f>TEXT(B50,"ddd")</f>
        <v/>
      </c>
      <c r="D50" s="6" t="inlineStr">
        <is>
          <t>EMP-005</t>
        </is>
      </c>
      <c r="E50" s="18">
        <f>IF(D50="OPEN","OPEN SHIFT",IFERROR(INDEX(Staff!$B$2:$B$100,MATCH(D50,Staff!$A$2:$A$100,0)),""))</f>
        <v/>
      </c>
      <c r="F50" s="6" t="inlineStr">
        <is>
          <t>Juicer</t>
        </is>
      </c>
      <c r="G50" s="34" t="n">
        <v>0.2708333333333333</v>
      </c>
      <c r="H50" s="34" t="n">
        <v>0.6041666666666666</v>
      </c>
      <c r="I50" s="35">
        <f>MOD(H50-G50,1)*24</f>
        <v/>
      </c>
      <c r="J50" s="29">
        <f>IFERROR(INDEX(Staff!$D$2:$D$100,MATCH(D50,Staff!$A$2:$A$100,0)),0)</f>
        <v/>
      </c>
      <c r="K50" s="14">
        <f>I50*J50</f>
        <v/>
      </c>
      <c r="L50" s="30">
        <f>B50-WEEKDAY(B50,3)</f>
        <v/>
      </c>
      <c r="M50" s="6" t="inlineStr"/>
    </row>
    <row r="51">
      <c r="A51" s="6" t="inlineStr">
        <is>
          <t>SH-044</t>
        </is>
      </c>
      <c r="B51" s="33" t="n">
        <v>46319</v>
      </c>
      <c r="C51" s="13">
        <f>TEXT(B51,"ddd")</f>
        <v/>
      </c>
      <c r="D51" s="6" t="inlineStr">
        <is>
          <t>EMP-004</t>
        </is>
      </c>
      <c r="E51" s="18">
        <f>IF(D51="OPEN","OPEN SHIFT",IFERROR(INDEX(Staff!$B$2:$B$100,MATCH(D51,Staff!$A$2:$A$100,0)),""))</f>
        <v/>
      </c>
      <c r="F51" s="6" t="inlineStr">
        <is>
          <t>Juicer</t>
        </is>
      </c>
      <c r="G51" s="34" t="n">
        <v>0.5416666666666666</v>
      </c>
      <c r="H51" s="34" t="n">
        <v>0.8333333333333334</v>
      </c>
      <c r="I51" s="35">
        <f>MOD(H51-G51,1)*24</f>
        <v/>
      </c>
      <c r="J51" s="29">
        <f>IFERROR(INDEX(Staff!$D$2:$D$100,MATCH(D51,Staff!$A$2:$A$100,0)),0)</f>
        <v/>
      </c>
      <c r="K51" s="14">
        <f>I51*J51</f>
        <v/>
      </c>
      <c r="L51" s="30">
        <f>B51-WEEKDAY(B51,3)</f>
        <v/>
      </c>
      <c r="M51" s="6" t="inlineStr"/>
    </row>
    <row r="52">
      <c r="A52" s="6" t="inlineStr">
        <is>
          <t>SH-055</t>
        </is>
      </c>
      <c r="B52" s="33" t="n">
        <v>46319</v>
      </c>
      <c r="C52" s="13">
        <f>TEXT(B52,"ddd")</f>
        <v/>
      </c>
      <c r="D52" s="6" t="inlineStr">
        <is>
          <t>OPEN</t>
        </is>
      </c>
      <c r="E52" s="18">
        <f>IF(D52="OPEN","OPEN SHIFT",IFERROR(INDEX(Staff!$B$2:$B$100,MATCH(D52,Staff!$A$2:$A$100,0)),""))</f>
        <v/>
      </c>
      <c r="F52" s="6" t="inlineStr">
        <is>
          <t>Juicer</t>
        </is>
      </c>
      <c r="G52" s="34" t="n">
        <v>0.5416666666666666</v>
      </c>
      <c r="H52" s="34" t="n">
        <v>0.8333333333333334</v>
      </c>
      <c r="I52" s="35">
        <f>MOD(H52-G52,1)*24</f>
        <v/>
      </c>
      <c r="J52" s="29">
        <f>IFERROR(INDEX(Staff!$D$2:$D$100,MATCH(D52,Staff!$A$2:$A$100,0)),0)</f>
        <v/>
      </c>
      <c r="K52" s="14">
        <f>I52*J52</f>
        <v/>
      </c>
      <c r="L52" s="30">
        <f>B52-WEEKDAY(B52,3)</f>
        <v/>
      </c>
      <c r="M52" s="6" t="inlineStr">
        <is>
          <t>Saturday close</t>
        </is>
      </c>
    </row>
    <row r="53">
      <c r="A53" s="6" t="inlineStr">
        <is>
          <t>SH-054</t>
        </is>
      </c>
      <c r="B53" s="33" t="n">
        <v>46320</v>
      </c>
      <c r="C53" s="13">
        <f>TEXT(B53,"ddd")</f>
        <v/>
      </c>
      <c r="D53" s="6" t="inlineStr">
        <is>
          <t>EMP-006</t>
        </is>
      </c>
      <c r="E53" s="18">
        <f>IF(D53="OPEN","OPEN SHIFT",IFERROR(INDEX(Staff!$B$2:$B$100,MATCH(D53,Staff!$A$2:$A$100,0)),""))</f>
        <v/>
      </c>
      <c r="F53" s="6" t="inlineStr">
        <is>
          <t>Cashier</t>
        </is>
      </c>
      <c r="G53" s="34" t="n">
        <v>0.2708333333333333</v>
      </c>
      <c r="H53" s="34" t="n">
        <v>0.6041666666666666</v>
      </c>
      <c r="I53" s="35">
        <f>MOD(H53-G53,1)*24</f>
        <v/>
      </c>
      <c r="J53" s="29">
        <f>IFERROR(INDEX(Staff!$D$2:$D$100,MATCH(D53,Staff!$A$2:$A$100,0)),0)</f>
        <v/>
      </c>
      <c r="K53" s="14">
        <f>I53*J53</f>
        <v/>
      </c>
      <c r="L53" s="30">
        <f>B53-WEEKDAY(B53,3)</f>
        <v/>
      </c>
      <c r="M53" s="6" t="inlineStr"/>
    </row>
    <row r="54">
      <c r="A54" s="6" t="inlineStr">
        <is>
          <t>SH-049</t>
        </is>
      </c>
      <c r="B54" s="33" t="n">
        <v>46320</v>
      </c>
      <c r="C54" s="13">
        <f>TEXT(B54,"ddd")</f>
        <v/>
      </c>
      <c r="D54" s="6" t="inlineStr">
        <is>
          <t>EMP-005</t>
        </is>
      </c>
      <c r="E54" s="18">
        <f>IF(D54="OPEN","OPEN SHIFT",IFERROR(INDEX(Staff!$B$2:$B$100,MATCH(D54,Staff!$A$2:$A$100,0)),""))</f>
        <v/>
      </c>
      <c r="F54" s="6" t="inlineStr">
        <is>
          <t>Juicer</t>
        </is>
      </c>
      <c r="G54" s="34" t="n">
        <v>0.4166666666666667</v>
      </c>
      <c r="H54" s="34" t="n">
        <v>0.6666666666666666</v>
      </c>
      <c r="I54" s="35">
        <f>MOD(H54-G54,1)*24</f>
        <v/>
      </c>
      <c r="J54" s="29">
        <f>IFERROR(INDEX(Staff!$D$2:$D$100,MATCH(D54,Staff!$A$2:$A$100,0)),0)</f>
        <v/>
      </c>
      <c r="K54" s="14">
        <f>I54*J54</f>
        <v/>
      </c>
      <c r="L54" s="30">
        <f>B54-WEEKDAY(B54,3)</f>
        <v/>
      </c>
      <c r="M54" s="6" t="inlineStr"/>
    </row>
    <row r="55">
      <c r="A55" s="6" t="inlineStr">
        <is>
          <t>SH-042</t>
        </is>
      </c>
      <c r="B55" s="33" t="n">
        <v>46320</v>
      </c>
      <c r="C55" s="13">
        <f>TEXT(B55,"ddd")</f>
        <v/>
      </c>
      <c r="D55" s="6" t="inlineStr">
        <is>
          <t>EMP-003</t>
        </is>
      </c>
      <c r="E55" s="18">
        <f>IF(D55="OPEN","OPEN SHIFT",IFERROR(INDEX(Staff!$B$2:$B$100,MATCH(D55,Staff!$A$2:$A$100,0)),""))</f>
        <v/>
      </c>
      <c r="F55" s="6" t="inlineStr">
        <is>
          <t>Juicer</t>
        </is>
      </c>
      <c r="G55" s="34" t="n">
        <v>0.5416666666666666</v>
      </c>
      <c r="H55" s="34" t="n">
        <v>0.8333333333333334</v>
      </c>
      <c r="I55" s="35">
        <f>MOD(H55-G55,1)*24</f>
        <v/>
      </c>
      <c r="J55" s="29">
        <f>IFERROR(INDEX(Staff!$D$2:$D$100,MATCH(D55,Staff!$A$2:$A$100,0)),0)</f>
        <v/>
      </c>
      <c r="K55" s="14">
        <f>I55*J55</f>
        <v/>
      </c>
      <c r="L55" s="30">
        <f>B55-WEEKDAY(B55,3)</f>
        <v/>
      </c>
      <c r="M55" s="6" t="inlineStr"/>
    </row>
    <row r="56">
      <c r="A56" s="6" t="inlineStr">
        <is>
          <t>SH-045</t>
        </is>
      </c>
      <c r="B56" s="33" t="n">
        <v>46320</v>
      </c>
      <c r="C56" s="13">
        <f>TEXT(B56,"ddd")</f>
        <v/>
      </c>
      <c r="D56" s="6" t="inlineStr">
        <is>
          <t>EMP-004</t>
        </is>
      </c>
      <c r="E56" s="18">
        <f>IF(D56="OPEN","OPEN SHIFT",IFERROR(INDEX(Staff!$B$2:$B$100,MATCH(D56,Staff!$A$2:$A$100,0)),""))</f>
        <v/>
      </c>
      <c r="F56" s="6" t="inlineStr">
        <is>
          <t>Juicer</t>
        </is>
      </c>
      <c r="G56" s="34" t="n">
        <v>0.5416666666666666</v>
      </c>
      <c r="H56" s="34" t="n">
        <v>0.8333333333333334</v>
      </c>
      <c r="I56" s="35">
        <f>MOD(H56-G56,1)*24</f>
        <v/>
      </c>
      <c r="J56" s="29">
        <f>IFERROR(INDEX(Staff!$D$2:$D$100,MATCH(D56,Staff!$A$2:$A$100,0)),0)</f>
        <v/>
      </c>
      <c r="K56" s="14">
        <f>I56*J56</f>
        <v/>
      </c>
      <c r="L56" s="30">
        <f>B56-WEEKDAY(B56,3)</f>
        <v/>
      </c>
      <c r="M56" s="6" t="inlineStr"/>
    </row>
  </sheetData>
  <autoFilter ref="A1:M56"/>
  <conditionalFormatting sqref="A2:M2000">
    <cfRule type="expression" priority="1" dxfId="3">
      <formula>$D2="OPEN"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9" customWidth="1" min="13" max="13"/>
    <col width="12" customWidth="1" min="14" max="14"/>
  </cols>
  <sheetData>
    <row r="1">
      <c r="A1" s="2" t="inlineStr">
        <is>
          <t>Week of</t>
        </is>
      </c>
      <c r="B1" s="36" t="n">
        <v>46314</v>
      </c>
      <c r="C1" s="23" t="inlineStr">
        <is>
          <t>Change this Monday date to view another week.</t>
        </is>
      </c>
    </row>
    <row r="3" ht="32" customHeight="1">
      <c r="A3" s="5" t="inlineStr">
        <is>
          <t>Employee ID</t>
        </is>
      </c>
      <c r="B3" s="5" t="inlineStr">
        <is>
          <t>Name</t>
        </is>
      </c>
      <c r="C3" s="5" t="inlineStr">
        <is>
          <t>Role</t>
        </is>
      </c>
      <c r="D3" s="37">
        <f>$B$1+0</f>
        <v/>
      </c>
      <c r="E3" s="37">
        <f>$B$1+1</f>
        <v/>
      </c>
      <c r="F3" s="37">
        <f>$B$1+2</f>
        <v/>
      </c>
      <c r="G3" s="37">
        <f>$B$1+3</f>
        <v/>
      </c>
      <c r="H3" s="37">
        <f>$B$1+4</f>
        <v/>
      </c>
      <c r="I3" s="37">
        <f>$B$1+5</f>
        <v/>
      </c>
      <c r="J3" s="37">
        <f>$B$1+6</f>
        <v/>
      </c>
      <c r="K3" s="5" t="inlineStr">
        <is>
          <t>Total Hours</t>
        </is>
      </c>
      <c r="L3" s="5" t="inlineStr">
        <is>
          <t>Max Hours</t>
        </is>
      </c>
      <c r="M3" s="5" t="inlineStr">
        <is>
          <t>Over Max?</t>
        </is>
      </c>
      <c r="N3" s="5" t="inlineStr">
        <is>
          <t>Labor Cost ($)</t>
        </is>
      </c>
    </row>
    <row r="4">
      <c r="A4" s="13" t="inlineStr">
        <is>
          <t>EMP-001</t>
        </is>
      </c>
      <c r="B4" s="18" t="inlineStr">
        <is>
          <t>Maya Torres</t>
        </is>
      </c>
      <c r="C4" s="18" t="inlineStr">
        <is>
          <t>Manager</t>
        </is>
      </c>
      <c r="D4" s="38">
        <f>SUMIFS(Schedule!$I$2:$I$2000,Schedule!$D$2:$D$2000,$A4,Schedule!$B$2:$B$2000,D$3)</f>
        <v/>
      </c>
      <c r="E4" s="38">
        <f>SUMIFS(Schedule!$I$2:$I$2000,Schedule!$D$2:$D$2000,$A4,Schedule!$B$2:$B$2000,E$3)</f>
        <v/>
      </c>
      <c r="F4" s="38">
        <f>SUMIFS(Schedule!$I$2:$I$2000,Schedule!$D$2:$D$2000,$A4,Schedule!$B$2:$B$2000,F$3)</f>
        <v/>
      </c>
      <c r="G4" s="38">
        <f>SUMIFS(Schedule!$I$2:$I$2000,Schedule!$D$2:$D$2000,$A4,Schedule!$B$2:$B$2000,G$3)</f>
        <v/>
      </c>
      <c r="H4" s="38">
        <f>SUMIFS(Schedule!$I$2:$I$2000,Schedule!$D$2:$D$2000,$A4,Schedule!$B$2:$B$2000,H$3)</f>
        <v/>
      </c>
      <c r="I4" s="38">
        <f>SUMIFS(Schedule!$I$2:$I$2000,Schedule!$D$2:$D$2000,$A4,Schedule!$B$2:$B$2000,I$3)</f>
        <v/>
      </c>
      <c r="J4" s="38">
        <f>SUMIFS(Schedule!$I$2:$I$2000,Schedule!$D$2:$D$2000,$A4,Schedule!$B$2:$B$2000,J$3)</f>
        <v/>
      </c>
      <c r="K4" s="35">
        <f>SUM(D4:J4)</f>
        <v/>
      </c>
      <c r="L4" s="39" t="n">
        <v>40</v>
      </c>
      <c r="M4" s="13">
        <f>IF(AND(L4&lt;&gt;"",K4&gt;L4),"OVER","")</f>
        <v/>
      </c>
      <c r="N4" s="14">
        <f>SUMIFS(Schedule!$K$2:$K$2000,Schedule!$D$2:$D$2000,$A4,Schedule!$L$2:$L$2000,$B$1)</f>
        <v/>
      </c>
    </row>
    <row r="5">
      <c r="A5" s="13" t="inlineStr">
        <is>
          <t>EMP-002</t>
        </is>
      </c>
      <c r="B5" s="18" t="inlineStr">
        <is>
          <t>Jordan Lee</t>
        </is>
      </c>
      <c r="C5" s="18" t="inlineStr">
        <is>
          <t>Shift Lead</t>
        </is>
      </c>
      <c r="D5" s="38">
        <f>SUMIFS(Schedule!$I$2:$I$2000,Schedule!$D$2:$D$2000,$A5,Schedule!$B$2:$B$2000,D$3)</f>
        <v/>
      </c>
      <c r="E5" s="38">
        <f>SUMIFS(Schedule!$I$2:$I$2000,Schedule!$D$2:$D$2000,$A5,Schedule!$B$2:$B$2000,E$3)</f>
        <v/>
      </c>
      <c r="F5" s="38">
        <f>SUMIFS(Schedule!$I$2:$I$2000,Schedule!$D$2:$D$2000,$A5,Schedule!$B$2:$B$2000,F$3)</f>
        <v/>
      </c>
      <c r="G5" s="38">
        <f>SUMIFS(Schedule!$I$2:$I$2000,Schedule!$D$2:$D$2000,$A5,Schedule!$B$2:$B$2000,G$3)</f>
        <v/>
      </c>
      <c r="H5" s="38">
        <f>SUMIFS(Schedule!$I$2:$I$2000,Schedule!$D$2:$D$2000,$A5,Schedule!$B$2:$B$2000,H$3)</f>
        <v/>
      </c>
      <c r="I5" s="38">
        <f>SUMIFS(Schedule!$I$2:$I$2000,Schedule!$D$2:$D$2000,$A5,Schedule!$B$2:$B$2000,I$3)</f>
        <v/>
      </c>
      <c r="J5" s="38">
        <f>SUMIFS(Schedule!$I$2:$I$2000,Schedule!$D$2:$D$2000,$A5,Schedule!$B$2:$B$2000,J$3)</f>
        <v/>
      </c>
      <c r="K5" s="35">
        <f>SUM(D5:J5)</f>
        <v/>
      </c>
      <c r="L5" s="39" t="n">
        <v>40</v>
      </c>
      <c r="M5" s="13">
        <f>IF(AND(L5&lt;&gt;"",K5&gt;L5),"OVER","")</f>
        <v/>
      </c>
      <c r="N5" s="14">
        <f>SUMIFS(Schedule!$K$2:$K$2000,Schedule!$D$2:$D$2000,$A5,Schedule!$L$2:$L$2000,$B$1)</f>
        <v/>
      </c>
    </row>
    <row r="6">
      <c r="A6" s="13" t="inlineStr">
        <is>
          <t>EMP-003</t>
        </is>
      </c>
      <c r="B6" s="18" t="inlineStr">
        <is>
          <t>Sam Patel</t>
        </is>
      </c>
      <c r="C6" s="18" t="inlineStr">
        <is>
          <t>Juicer</t>
        </is>
      </c>
      <c r="D6" s="38">
        <f>SUMIFS(Schedule!$I$2:$I$2000,Schedule!$D$2:$D$2000,$A6,Schedule!$B$2:$B$2000,D$3)</f>
        <v/>
      </c>
      <c r="E6" s="38">
        <f>SUMIFS(Schedule!$I$2:$I$2000,Schedule!$D$2:$D$2000,$A6,Schedule!$B$2:$B$2000,E$3)</f>
        <v/>
      </c>
      <c r="F6" s="38">
        <f>SUMIFS(Schedule!$I$2:$I$2000,Schedule!$D$2:$D$2000,$A6,Schedule!$B$2:$B$2000,F$3)</f>
        <v/>
      </c>
      <c r="G6" s="38">
        <f>SUMIFS(Schedule!$I$2:$I$2000,Schedule!$D$2:$D$2000,$A6,Schedule!$B$2:$B$2000,G$3)</f>
        <v/>
      </c>
      <c r="H6" s="38">
        <f>SUMIFS(Schedule!$I$2:$I$2000,Schedule!$D$2:$D$2000,$A6,Schedule!$B$2:$B$2000,H$3)</f>
        <v/>
      </c>
      <c r="I6" s="38">
        <f>SUMIFS(Schedule!$I$2:$I$2000,Schedule!$D$2:$D$2000,$A6,Schedule!$B$2:$B$2000,I$3)</f>
        <v/>
      </c>
      <c r="J6" s="38">
        <f>SUMIFS(Schedule!$I$2:$I$2000,Schedule!$D$2:$D$2000,$A6,Schedule!$B$2:$B$2000,J$3)</f>
        <v/>
      </c>
      <c r="K6" s="35">
        <f>SUM(D6:J6)</f>
        <v/>
      </c>
      <c r="L6" s="39" t="n">
        <v>40</v>
      </c>
      <c r="M6" s="13">
        <f>IF(AND(L6&lt;&gt;"",K6&gt;L6),"OVER","")</f>
        <v/>
      </c>
      <c r="N6" s="14">
        <f>SUMIFS(Schedule!$K$2:$K$2000,Schedule!$D$2:$D$2000,$A6,Schedule!$L$2:$L$2000,$B$1)</f>
        <v/>
      </c>
    </row>
    <row r="7">
      <c r="A7" s="13" t="inlineStr">
        <is>
          <t>EMP-004</t>
        </is>
      </c>
      <c r="B7" s="18" t="inlineStr">
        <is>
          <t>Alex Kim</t>
        </is>
      </c>
      <c r="C7" s="18" t="inlineStr">
        <is>
          <t>Juicer</t>
        </is>
      </c>
      <c r="D7" s="38">
        <f>SUMIFS(Schedule!$I$2:$I$2000,Schedule!$D$2:$D$2000,$A7,Schedule!$B$2:$B$2000,D$3)</f>
        <v/>
      </c>
      <c r="E7" s="38">
        <f>SUMIFS(Schedule!$I$2:$I$2000,Schedule!$D$2:$D$2000,$A7,Schedule!$B$2:$B$2000,E$3)</f>
        <v/>
      </c>
      <c r="F7" s="38">
        <f>SUMIFS(Schedule!$I$2:$I$2000,Schedule!$D$2:$D$2000,$A7,Schedule!$B$2:$B$2000,F$3)</f>
        <v/>
      </c>
      <c r="G7" s="38">
        <f>SUMIFS(Schedule!$I$2:$I$2000,Schedule!$D$2:$D$2000,$A7,Schedule!$B$2:$B$2000,G$3)</f>
        <v/>
      </c>
      <c r="H7" s="38">
        <f>SUMIFS(Schedule!$I$2:$I$2000,Schedule!$D$2:$D$2000,$A7,Schedule!$B$2:$B$2000,H$3)</f>
        <v/>
      </c>
      <c r="I7" s="38">
        <f>SUMIFS(Schedule!$I$2:$I$2000,Schedule!$D$2:$D$2000,$A7,Schedule!$B$2:$B$2000,I$3)</f>
        <v/>
      </c>
      <c r="J7" s="38">
        <f>SUMIFS(Schedule!$I$2:$I$2000,Schedule!$D$2:$D$2000,$A7,Schedule!$B$2:$B$2000,J$3)</f>
        <v/>
      </c>
      <c r="K7" s="35">
        <f>SUM(D7:J7)</f>
        <v/>
      </c>
      <c r="L7" s="39" t="n">
        <v>30</v>
      </c>
      <c r="M7" s="13">
        <f>IF(AND(L7&lt;&gt;"",K7&gt;L7),"OVER","")</f>
        <v/>
      </c>
      <c r="N7" s="14">
        <f>SUMIFS(Schedule!$K$2:$K$2000,Schedule!$D$2:$D$2000,$A7,Schedule!$L$2:$L$2000,$B$1)</f>
        <v/>
      </c>
    </row>
    <row r="8">
      <c r="A8" s="13" t="inlineStr">
        <is>
          <t>EMP-005</t>
        </is>
      </c>
      <c r="B8" s="18" t="inlineStr">
        <is>
          <t>Riley Chen</t>
        </is>
      </c>
      <c r="C8" s="18" t="inlineStr">
        <is>
          <t>Juicer</t>
        </is>
      </c>
      <c r="D8" s="38">
        <f>SUMIFS(Schedule!$I$2:$I$2000,Schedule!$D$2:$D$2000,$A8,Schedule!$B$2:$B$2000,D$3)</f>
        <v/>
      </c>
      <c r="E8" s="38">
        <f>SUMIFS(Schedule!$I$2:$I$2000,Schedule!$D$2:$D$2000,$A8,Schedule!$B$2:$B$2000,E$3)</f>
        <v/>
      </c>
      <c r="F8" s="38">
        <f>SUMIFS(Schedule!$I$2:$I$2000,Schedule!$D$2:$D$2000,$A8,Schedule!$B$2:$B$2000,F$3)</f>
        <v/>
      </c>
      <c r="G8" s="38">
        <f>SUMIFS(Schedule!$I$2:$I$2000,Schedule!$D$2:$D$2000,$A8,Schedule!$B$2:$B$2000,G$3)</f>
        <v/>
      </c>
      <c r="H8" s="38">
        <f>SUMIFS(Schedule!$I$2:$I$2000,Schedule!$D$2:$D$2000,$A8,Schedule!$B$2:$B$2000,H$3)</f>
        <v/>
      </c>
      <c r="I8" s="38">
        <f>SUMIFS(Schedule!$I$2:$I$2000,Schedule!$D$2:$D$2000,$A8,Schedule!$B$2:$B$2000,I$3)</f>
        <v/>
      </c>
      <c r="J8" s="38">
        <f>SUMIFS(Schedule!$I$2:$I$2000,Schedule!$D$2:$D$2000,$A8,Schedule!$B$2:$B$2000,J$3)</f>
        <v/>
      </c>
      <c r="K8" s="35">
        <f>SUM(D8:J8)</f>
        <v/>
      </c>
      <c r="L8" s="39" t="n">
        <v>30</v>
      </c>
      <c r="M8" s="13">
        <f>IF(AND(L8&lt;&gt;"",K8&gt;L8),"OVER","")</f>
        <v/>
      </c>
      <c r="N8" s="14">
        <f>SUMIFS(Schedule!$K$2:$K$2000,Schedule!$D$2:$D$2000,$A8,Schedule!$L$2:$L$2000,$B$1)</f>
        <v/>
      </c>
    </row>
    <row r="9">
      <c r="A9" s="13" t="inlineStr">
        <is>
          <t>EMP-006</t>
        </is>
      </c>
      <c r="B9" s="18" t="inlineStr">
        <is>
          <t>Casey Brooks</t>
        </is>
      </c>
      <c r="C9" s="18" t="inlineStr">
        <is>
          <t>Cashier</t>
        </is>
      </c>
      <c r="D9" s="38">
        <f>SUMIFS(Schedule!$I$2:$I$2000,Schedule!$D$2:$D$2000,$A9,Schedule!$B$2:$B$2000,D$3)</f>
        <v/>
      </c>
      <c r="E9" s="38">
        <f>SUMIFS(Schedule!$I$2:$I$2000,Schedule!$D$2:$D$2000,$A9,Schedule!$B$2:$B$2000,E$3)</f>
        <v/>
      </c>
      <c r="F9" s="38">
        <f>SUMIFS(Schedule!$I$2:$I$2000,Schedule!$D$2:$D$2000,$A9,Schedule!$B$2:$B$2000,F$3)</f>
        <v/>
      </c>
      <c r="G9" s="38">
        <f>SUMIFS(Schedule!$I$2:$I$2000,Schedule!$D$2:$D$2000,$A9,Schedule!$B$2:$B$2000,G$3)</f>
        <v/>
      </c>
      <c r="H9" s="38">
        <f>SUMIFS(Schedule!$I$2:$I$2000,Schedule!$D$2:$D$2000,$A9,Schedule!$B$2:$B$2000,H$3)</f>
        <v/>
      </c>
      <c r="I9" s="38">
        <f>SUMIFS(Schedule!$I$2:$I$2000,Schedule!$D$2:$D$2000,$A9,Schedule!$B$2:$B$2000,I$3)</f>
        <v/>
      </c>
      <c r="J9" s="38">
        <f>SUMIFS(Schedule!$I$2:$I$2000,Schedule!$D$2:$D$2000,$A9,Schedule!$B$2:$B$2000,J$3)</f>
        <v/>
      </c>
      <c r="K9" s="35">
        <f>SUM(D9:J9)</f>
        <v/>
      </c>
      <c r="L9" s="39" t="n">
        <v>28</v>
      </c>
      <c r="M9" s="13">
        <f>IF(AND(L9&lt;&gt;"",K9&gt;L9),"OVER","")</f>
        <v/>
      </c>
      <c r="N9" s="14">
        <f>SUMIFS(Schedule!$K$2:$K$2000,Schedule!$D$2:$D$2000,$A9,Schedule!$L$2:$L$2000,$B$1)</f>
        <v/>
      </c>
    </row>
    <row r="10">
      <c r="A10" s="13" t="inlineStr">
        <is>
          <t>OPEN</t>
        </is>
      </c>
      <c r="B10" s="18" t="inlineStr">
        <is>
          <t>Open shifts</t>
        </is>
      </c>
      <c r="C10" s="18" t="inlineStr"/>
      <c r="D10" s="38">
        <f>SUMIFS(Schedule!$I$2:$I$2000,Schedule!$D$2:$D$2000,$A10,Schedule!$B$2:$B$2000,D$3)</f>
        <v/>
      </c>
      <c r="E10" s="38">
        <f>SUMIFS(Schedule!$I$2:$I$2000,Schedule!$D$2:$D$2000,$A10,Schedule!$B$2:$B$2000,E$3)</f>
        <v/>
      </c>
      <c r="F10" s="38">
        <f>SUMIFS(Schedule!$I$2:$I$2000,Schedule!$D$2:$D$2000,$A10,Schedule!$B$2:$B$2000,F$3)</f>
        <v/>
      </c>
      <c r="G10" s="38">
        <f>SUMIFS(Schedule!$I$2:$I$2000,Schedule!$D$2:$D$2000,$A10,Schedule!$B$2:$B$2000,G$3)</f>
        <v/>
      </c>
      <c r="H10" s="38">
        <f>SUMIFS(Schedule!$I$2:$I$2000,Schedule!$D$2:$D$2000,$A10,Schedule!$B$2:$B$2000,H$3)</f>
        <v/>
      </c>
      <c r="I10" s="38">
        <f>SUMIFS(Schedule!$I$2:$I$2000,Schedule!$D$2:$D$2000,$A10,Schedule!$B$2:$B$2000,I$3)</f>
        <v/>
      </c>
      <c r="J10" s="38">
        <f>SUMIFS(Schedule!$I$2:$I$2000,Schedule!$D$2:$D$2000,$A10,Schedule!$B$2:$B$2000,J$3)</f>
        <v/>
      </c>
      <c r="K10" s="35">
        <f>SUM(D10:J10)</f>
        <v/>
      </c>
      <c r="L10" s="39" t="n"/>
      <c r="M10" s="13">
        <f>IF(AND(L10&lt;&gt;"",K10&gt;L10),"OVER","")</f>
        <v/>
      </c>
      <c r="N10" s="14">
        <f>SUMIFS(Schedule!$K$2:$K$2000,Schedule!$D$2:$D$2000,$A10,Schedule!$L$2:$L$2000,$B$1)</f>
        <v/>
      </c>
    </row>
    <row r="11">
      <c r="B11" s="2" t="inlineStr">
        <is>
          <t>Total hours</t>
        </is>
      </c>
      <c r="D11" s="40">
        <f>SUM(D4:D10)</f>
        <v/>
      </c>
      <c r="E11" s="40">
        <f>SUM(E4:E10)</f>
        <v/>
      </c>
      <c r="F11" s="40">
        <f>SUM(F4:F10)</f>
        <v/>
      </c>
      <c r="G11" s="40">
        <f>SUM(G4:G10)</f>
        <v/>
      </c>
      <c r="H11" s="40">
        <f>SUM(H4:H10)</f>
        <v/>
      </c>
      <c r="I11" s="40">
        <f>SUM(I4:I10)</f>
        <v/>
      </c>
      <c r="J11" s="40">
        <f>SUM(J4:J10)</f>
        <v/>
      </c>
      <c r="K11" s="40">
        <f>SUM(K4:K10)</f>
        <v/>
      </c>
    </row>
    <row r="12">
      <c r="B12" s="2" t="inlineStr">
        <is>
          <t>Labor cost ($)</t>
        </is>
      </c>
      <c r="D12" s="41">
        <f>SUMIFS(Schedule!$K$2:$K$2000,Schedule!$B$2:$B$2000,D$3)</f>
        <v/>
      </c>
      <c r="E12" s="41">
        <f>SUMIFS(Schedule!$K$2:$K$2000,Schedule!$B$2:$B$2000,E$3)</f>
        <v/>
      </c>
      <c r="F12" s="41">
        <f>SUMIFS(Schedule!$K$2:$K$2000,Schedule!$B$2:$B$2000,F$3)</f>
        <v/>
      </c>
      <c r="G12" s="41">
        <f>SUMIFS(Schedule!$K$2:$K$2000,Schedule!$B$2:$B$2000,G$3)</f>
        <v/>
      </c>
      <c r="H12" s="41">
        <f>SUMIFS(Schedule!$K$2:$K$2000,Schedule!$B$2:$B$2000,H$3)</f>
        <v/>
      </c>
      <c r="I12" s="41">
        <f>SUMIFS(Schedule!$K$2:$K$2000,Schedule!$B$2:$B$2000,I$3)</f>
        <v/>
      </c>
      <c r="J12" s="41">
        <f>SUMIFS(Schedule!$K$2:$K$2000,Schedule!$B$2:$B$2000,J$3)</f>
        <v/>
      </c>
      <c r="N12" s="42">
        <f>SUM(N4:N10)</f>
        <v/>
      </c>
    </row>
  </sheetData>
  <conditionalFormatting sqref="A4:N10">
    <cfRule type="expression" priority="1" dxfId="0">
      <formula>$M4="OVER"</formula>
    </cfRule>
  </conditionalFormatting>
  <conditionalFormatting sqref="D4:J10"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2026-10-25T04:27:31Z</dcterms:created>
  <dcterms:modified xmlns:dcterms="http://purl.org/dc/terms/" xmlns:xsi="http://www.w3.org/2001/XMLSchema-instance" xsi:type="dcterms:W3CDTF">2026-10-25T04:27:31Z</dcterms:modified>
</cp:coreProperties>
</file>